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DTK18\ISTOSELIDA\ENGLISH\"/>
    </mc:Choice>
  </mc:AlternateContent>
  <xr:revisionPtr revIDLastSave="0" documentId="13_ncr:1_{0CDCC5BC-B7EA-45F5-97CA-4396F3F6A77A}" xr6:coauthVersionLast="47" xr6:coauthVersionMax="47" xr10:uidLastSave="{00000000-0000-0000-0000-000000000000}"/>
  <bookViews>
    <workbookView xWindow="-110" yWindow="-110" windowWidth="19420" windowHeight="10560" xr2:uid="{96CA44D5-833F-4017-A72B-42F1E35C8D44}"/>
  </bookViews>
  <sheets>
    <sheet name="INDICES" sheetId="1" r:id="rId1"/>
    <sheet name="Φύλλο1" sheetId="2" state="hidden" r:id="rId2"/>
  </sheets>
  <definedNames>
    <definedName name="\m">INDICES!#REF!</definedName>
    <definedName name="_Regression_Int" localSheetId="0" hidden="1">1</definedName>
    <definedName name="MAINMENU">INDICES!#REF!</definedName>
    <definedName name="_xlnm.Print_Area" localSheetId="0">INDICES!$A$1:$Q$629</definedName>
    <definedName name="Print_Area_MI" localSheetId="0">INDICES!$B$5:$H$499</definedName>
    <definedName name="_xlnm.Print_Titles" localSheetId="0">INDICES!$1:$4</definedName>
    <definedName name="Print_Titles_MI" localSheetId="0">INDICES!$1:$4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29" i="1" l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</calcChain>
</file>

<file path=xl/sharedStrings.xml><?xml version="1.0" encoding="utf-8"?>
<sst xmlns="http://schemas.openxmlformats.org/spreadsheetml/2006/main" count="1261" uniqueCount="722">
  <si>
    <t>12</t>
  </si>
  <si>
    <t>10</t>
  </si>
  <si>
    <t>11</t>
  </si>
  <si>
    <t>01111</t>
  </si>
  <si>
    <t>01112</t>
  </si>
  <si>
    <t>01113</t>
  </si>
  <si>
    <t>01114</t>
  </si>
  <si>
    <t>01115</t>
  </si>
  <si>
    <t>0111</t>
  </si>
  <si>
    <t>01122</t>
  </si>
  <si>
    <t>01123</t>
  </si>
  <si>
    <t>01124</t>
  </si>
  <si>
    <t>01125</t>
  </si>
  <si>
    <t>0112</t>
  </si>
  <si>
    <t>01131</t>
  </si>
  <si>
    <t>0113</t>
  </si>
  <si>
    <t>01141</t>
  </si>
  <si>
    <t>01142</t>
  </si>
  <si>
    <t>01143</t>
  </si>
  <si>
    <t>01144</t>
  </si>
  <si>
    <t>01145</t>
  </si>
  <si>
    <t>01146</t>
  </si>
  <si>
    <t>01147</t>
  </si>
  <si>
    <t>0114</t>
  </si>
  <si>
    <t>01151</t>
  </si>
  <si>
    <t>01152</t>
  </si>
  <si>
    <t>01153</t>
  </si>
  <si>
    <t>0115</t>
  </si>
  <si>
    <t>0116</t>
  </si>
  <si>
    <t>0117</t>
  </si>
  <si>
    <t>01181</t>
  </si>
  <si>
    <t>01182</t>
  </si>
  <si>
    <t>01183</t>
  </si>
  <si>
    <t>01184</t>
  </si>
  <si>
    <t>01185</t>
  </si>
  <si>
    <t>01186</t>
  </si>
  <si>
    <t>0118</t>
  </si>
  <si>
    <t>01191</t>
  </si>
  <si>
    <t>01192</t>
  </si>
  <si>
    <t>01193</t>
  </si>
  <si>
    <t>01194</t>
  </si>
  <si>
    <t>0119</t>
  </si>
  <si>
    <t>011</t>
  </si>
  <si>
    <t>0121</t>
  </si>
  <si>
    <t>0122</t>
  </si>
  <si>
    <t>012</t>
  </si>
  <si>
    <t>01</t>
  </si>
  <si>
    <t>0211</t>
  </si>
  <si>
    <t>0212</t>
  </si>
  <si>
    <t>0213</t>
  </si>
  <si>
    <t>021</t>
  </si>
  <si>
    <t>02</t>
  </si>
  <si>
    <t>0311</t>
  </si>
  <si>
    <t>03121</t>
  </si>
  <si>
    <t>03122</t>
  </si>
  <si>
    <t>03123</t>
  </si>
  <si>
    <t>03131</t>
  </si>
  <si>
    <t>03132</t>
  </si>
  <si>
    <t>031</t>
  </si>
  <si>
    <t>03211</t>
  </si>
  <si>
    <t>03212</t>
  </si>
  <si>
    <t>03213</t>
  </si>
  <si>
    <t>0322</t>
  </si>
  <si>
    <t>032</t>
  </si>
  <si>
    <t>03</t>
  </si>
  <si>
    <t>041</t>
  </si>
  <si>
    <t>0431</t>
  </si>
  <si>
    <t>0432</t>
  </si>
  <si>
    <t>043</t>
  </si>
  <si>
    <t>0442</t>
  </si>
  <si>
    <t>0444</t>
  </si>
  <si>
    <t>044</t>
  </si>
  <si>
    <t>0451</t>
  </si>
  <si>
    <t>04521</t>
  </si>
  <si>
    <t>04522</t>
  </si>
  <si>
    <t>0453</t>
  </si>
  <si>
    <t>0454</t>
  </si>
  <si>
    <t>045</t>
  </si>
  <si>
    <t>04</t>
  </si>
  <si>
    <t>05111</t>
  </si>
  <si>
    <t>05112</t>
  </si>
  <si>
    <t>051</t>
  </si>
  <si>
    <t>052</t>
  </si>
  <si>
    <t>05311</t>
  </si>
  <si>
    <t>05312</t>
  </si>
  <si>
    <t>05313</t>
  </si>
  <si>
    <t>0531</t>
  </si>
  <si>
    <t>0532</t>
  </si>
  <si>
    <t>0533</t>
  </si>
  <si>
    <t>053</t>
  </si>
  <si>
    <t>05401</t>
  </si>
  <si>
    <t>05402</t>
  </si>
  <si>
    <t>05403</t>
  </si>
  <si>
    <t>054</t>
  </si>
  <si>
    <t>0551</t>
  </si>
  <si>
    <t>0552</t>
  </si>
  <si>
    <t>055</t>
  </si>
  <si>
    <t>05611</t>
  </si>
  <si>
    <t>0561</t>
  </si>
  <si>
    <t>05621</t>
  </si>
  <si>
    <t>0562</t>
  </si>
  <si>
    <t>056</t>
  </si>
  <si>
    <t>05</t>
  </si>
  <si>
    <t>0611</t>
  </si>
  <si>
    <t>0612</t>
  </si>
  <si>
    <t>0613</t>
  </si>
  <si>
    <t>061</t>
  </si>
  <si>
    <t>0621</t>
  </si>
  <si>
    <t>0622</t>
  </si>
  <si>
    <t>0623</t>
  </si>
  <si>
    <t>062</t>
  </si>
  <si>
    <t>063</t>
  </si>
  <si>
    <t>06</t>
  </si>
  <si>
    <t>0711</t>
  </si>
  <si>
    <t>071</t>
  </si>
  <si>
    <t>0721</t>
  </si>
  <si>
    <t>07221</t>
  </si>
  <si>
    <t>07222</t>
  </si>
  <si>
    <t>0722</t>
  </si>
  <si>
    <t>0723</t>
  </si>
  <si>
    <t>07241</t>
  </si>
  <si>
    <t>07242</t>
  </si>
  <si>
    <t>0724</t>
  </si>
  <si>
    <t>072</t>
  </si>
  <si>
    <t>0731</t>
  </si>
  <si>
    <t>07321</t>
  </si>
  <si>
    <t>07322</t>
  </si>
  <si>
    <t>0733</t>
  </si>
  <si>
    <t>0734</t>
  </si>
  <si>
    <t>0735</t>
  </si>
  <si>
    <t>073</t>
  </si>
  <si>
    <t>07</t>
  </si>
  <si>
    <t>081</t>
  </si>
  <si>
    <t>08</t>
  </si>
  <si>
    <t>0911</t>
  </si>
  <si>
    <t>0912</t>
  </si>
  <si>
    <t>091</t>
  </si>
  <si>
    <t>0921</t>
  </si>
  <si>
    <t>0922</t>
  </si>
  <si>
    <t>092</t>
  </si>
  <si>
    <t>09311</t>
  </si>
  <si>
    <t>09312</t>
  </si>
  <si>
    <t>0932</t>
  </si>
  <si>
    <t>093</t>
  </si>
  <si>
    <t>09422</t>
  </si>
  <si>
    <t>0942</t>
  </si>
  <si>
    <t>094</t>
  </si>
  <si>
    <t>0951</t>
  </si>
  <si>
    <t>095</t>
  </si>
  <si>
    <t>096</t>
  </si>
  <si>
    <t>09</t>
  </si>
  <si>
    <t>11111</t>
  </si>
  <si>
    <t>11112</t>
  </si>
  <si>
    <t>1111</t>
  </si>
  <si>
    <t>1112</t>
  </si>
  <si>
    <t>111</t>
  </si>
  <si>
    <t>112</t>
  </si>
  <si>
    <t>1212</t>
  </si>
  <si>
    <t>1213</t>
  </si>
  <si>
    <t>121</t>
  </si>
  <si>
    <t>01132</t>
  </si>
  <si>
    <t>01133</t>
  </si>
  <si>
    <t>01134</t>
  </si>
  <si>
    <t>01199</t>
  </si>
  <si>
    <t>02121</t>
  </si>
  <si>
    <t>0312</t>
  </si>
  <si>
    <t>0313</t>
  </si>
  <si>
    <t>03141</t>
  </si>
  <si>
    <t>03142</t>
  </si>
  <si>
    <t>0314</t>
  </si>
  <si>
    <t>0321</t>
  </si>
  <si>
    <t>0411</t>
  </si>
  <si>
    <t>0441</t>
  </si>
  <si>
    <t>0443</t>
  </si>
  <si>
    <t>04441</t>
  </si>
  <si>
    <t>0452</t>
  </si>
  <si>
    <t>05113</t>
  </si>
  <si>
    <t>0511</t>
  </si>
  <si>
    <t>05314</t>
  </si>
  <si>
    <t>05521</t>
  </si>
  <si>
    <t>05522</t>
  </si>
  <si>
    <t>06131</t>
  </si>
  <si>
    <t>06132</t>
  </si>
  <si>
    <t>06231</t>
  </si>
  <si>
    <t>07111</t>
  </si>
  <si>
    <t>07112</t>
  </si>
  <si>
    <t>0712</t>
  </si>
  <si>
    <t>0713</t>
  </si>
  <si>
    <t>07211</t>
  </si>
  <si>
    <t>07212</t>
  </si>
  <si>
    <t>07213</t>
  </si>
  <si>
    <t>07223</t>
  </si>
  <si>
    <t>07224</t>
  </si>
  <si>
    <t>07243</t>
  </si>
  <si>
    <t>07311</t>
  </si>
  <si>
    <t>0732</t>
  </si>
  <si>
    <t>07331</t>
  </si>
  <si>
    <t>07332</t>
  </si>
  <si>
    <t>082</t>
  </si>
  <si>
    <t>083</t>
  </si>
  <si>
    <t>09111</t>
  </si>
  <si>
    <t>09221</t>
  </si>
  <si>
    <t>0931</t>
  </si>
  <si>
    <t>09321</t>
  </si>
  <si>
    <t>09322</t>
  </si>
  <si>
    <t>10101</t>
  </si>
  <si>
    <t>10102</t>
  </si>
  <si>
    <t>1010</t>
  </si>
  <si>
    <t>1020</t>
  </si>
  <si>
    <t>1030</t>
  </si>
  <si>
    <t>1040</t>
  </si>
  <si>
    <t>11201</t>
  </si>
  <si>
    <t>11202</t>
  </si>
  <si>
    <t>MAI</t>
  </si>
  <si>
    <t>GOODS-SUB GROUPS-GROUPS-DIVISIONS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</si>
  <si>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</si>
  <si>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</si>
  <si>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</si>
  <si>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</si>
  <si>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</si>
  <si>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</si>
  <si>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</si>
  <si>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</si>
  <si>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</si>
  <si>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</si>
  <si>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</si>
  <si>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ANNUAL AVERAGE</t>
  </si>
  <si>
    <t>07312</t>
  </si>
  <si>
    <t>05321</t>
  </si>
  <si>
    <t>05322</t>
  </si>
  <si>
    <t>05329</t>
  </si>
  <si>
    <t>06121</t>
  </si>
  <si>
    <r>
      <t>Weights 
(‰</t>
    </r>
    <r>
      <rPr>
        <b/>
        <sz val="9"/>
        <rFont val="Calibri"/>
        <family val="2"/>
        <charset val="161"/>
      </rPr>
      <t>)</t>
    </r>
  </si>
  <si>
    <t>01119</t>
  </si>
  <si>
    <t>011221</t>
  </si>
  <si>
    <t>011222</t>
  </si>
  <si>
    <t>011223</t>
  </si>
  <si>
    <t>011224</t>
  </si>
  <si>
    <t>011225</t>
  </si>
  <si>
    <t>01148</t>
  </si>
  <si>
    <t>011513</t>
  </si>
  <si>
    <t>011519</t>
  </si>
  <si>
    <t>01189</t>
  </si>
  <si>
    <t>0123</t>
  </si>
  <si>
    <t>0124</t>
  </si>
  <si>
    <t>0125</t>
  </si>
  <si>
    <t>0126</t>
  </si>
  <si>
    <t>02301</t>
  </si>
  <si>
    <t>02302</t>
  </si>
  <si>
    <t>02309</t>
  </si>
  <si>
    <t>023</t>
  </si>
  <si>
    <t>04311</t>
  </si>
  <si>
    <t>04312</t>
  </si>
  <si>
    <t>04411</t>
  </si>
  <si>
    <t>04431</t>
  </si>
  <si>
    <t>04541</t>
  </si>
  <si>
    <t>04542</t>
  </si>
  <si>
    <t>05114</t>
  </si>
  <si>
    <t>05211</t>
  </si>
  <si>
    <t>05212</t>
  </si>
  <si>
    <t>05213</t>
  </si>
  <si>
    <t>05219</t>
  </si>
  <si>
    <t>0521</t>
  </si>
  <si>
    <t>05619</t>
  </si>
  <si>
    <t>05629</t>
  </si>
  <si>
    <t>06111</t>
  </si>
  <si>
    <t>06122</t>
  </si>
  <si>
    <t>06123</t>
  </si>
  <si>
    <t>06133</t>
  </si>
  <si>
    <t>06219</t>
  </si>
  <si>
    <t>06221</t>
  </si>
  <si>
    <t>06229</t>
  </si>
  <si>
    <t>0631</t>
  </si>
  <si>
    <t>0641</t>
  </si>
  <si>
    <t>064</t>
  </si>
  <si>
    <t>07244</t>
  </si>
  <si>
    <t>07411</t>
  </si>
  <si>
    <t>07412</t>
  </si>
  <si>
    <t>0741</t>
  </si>
  <si>
    <t>07491</t>
  </si>
  <si>
    <t>07492</t>
  </si>
  <si>
    <t>0749</t>
  </si>
  <si>
    <t>074</t>
  </si>
  <si>
    <t>0811</t>
  </si>
  <si>
    <t>0812</t>
  </si>
  <si>
    <t>08131</t>
  </si>
  <si>
    <t>08132</t>
  </si>
  <si>
    <t>0813</t>
  </si>
  <si>
    <t>0814</t>
  </si>
  <si>
    <t>0815</t>
  </si>
  <si>
    <t>08191</t>
  </si>
  <si>
    <t>08192</t>
  </si>
  <si>
    <t>0819</t>
  </si>
  <si>
    <t>0820</t>
  </si>
  <si>
    <t>0831</t>
  </si>
  <si>
    <t>0832</t>
  </si>
  <si>
    <t>0833</t>
  </si>
  <si>
    <t>0834</t>
  </si>
  <si>
    <t>0835</t>
  </si>
  <si>
    <t>08391</t>
  </si>
  <si>
    <t>08392</t>
  </si>
  <si>
    <t>0839</t>
  </si>
  <si>
    <t>09123</t>
  </si>
  <si>
    <t>09211</t>
  </si>
  <si>
    <t>09212</t>
  </si>
  <si>
    <t>09222</t>
  </si>
  <si>
    <t>0944</t>
  </si>
  <si>
    <t>0945</t>
  </si>
  <si>
    <t>09461</t>
  </si>
  <si>
    <t>09462</t>
  </si>
  <si>
    <t>09463</t>
  </si>
  <si>
    <t>0946</t>
  </si>
  <si>
    <t>0947</t>
  </si>
  <si>
    <t>0961</t>
  </si>
  <si>
    <t>0962</t>
  </si>
  <si>
    <t>0963</t>
  </si>
  <si>
    <t>09711</t>
  </si>
  <si>
    <t>09719</t>
  </si>
  <si>
    <t>0971</t>
  </si>
  <si>
    <t>09721</t>
  </si>
  <si>
    <t>09722</t>
  </si>
  <si>
    <t>0972</t>
  </si>
  <si>
    <t>0973</t>
  </si>
  <si>
    <t>0974</t>
  </si>
  <si>
    <t>097</t>
  </si>
  <si>
    <t>0980</t>
  </si>
  <si>
    <t>098</t>
  </si>
  <si>
    <t>101</t>
  </si>
  <si>
    <t>102</t>
  </si>
  <si>
    <t>103</t>
  </si>
  <si>
    <t>104</t>
  </si>
  <si>
    <t>11121</t>
  </si>
  <si>
    <t>12141</t>
  </si>
  <si>
    <t>12142</t>
  </si>
  <si>
    <t>1214</t>
  </si>
  <si>
    <t>1222</t>
  </si>
  <si>
    <t>12299</t>
  </si>
  <si>
    <t>1229</t>
  </si>
  <si>
    <t>122</t>
  </si>
  <si>
    <t>13111</t>
  </si>
  <si>
    <t>1311</t>
  </si>
  <si>
    <t>1312</t>
  </si>
  <si>
    <t>13131</t>
  </si>
  <si>
    <t>13132</t>
  </si>
  <si>
    <t>1313</t>
  </si>
  <si>
    <t>131</t>
  </si>
  <si>
    <t>13211</t>
  </si>
  <si>
    <t>1321</t>
  </si>
  <si>
    <t>1322</t>
  </si>
  <si>
    <t>13291</t>
  </si>
  <si>
    <t>1329</t>
  </si>
  <si>
    <t>132</t>
  </si>
  <si>
    <t>13301</t>
  </si>
  <si>
    <t>13302</t>
  </si>
  <si>
    <t>13303</t>
  </si>
  <si>
    <t>133</t>
  </si>
  <si>
    <t>13909</t>
  </si>
  <si>
    <t>139</t>
  </si>
  <si>
    <t>13</t>
  </si>
  <si>
    <t>COICOP18        new classification</t>
  </si>
  <si>
    <t>DIVISION 1: FOOD AND NON-ALCOHOLIC BEVERAGES</t>
  </si>
  <si>
    <t xml:space="preserve">CEREALS </t>
  </si>
  <si>
    <t xml:space="preserve">FLOUR OF CEREALS </t>
  </si>
  <si>
    <t xml:space="preserve">BREAD AND BAKERY PRODUCTS </t>
  </si>
  <si>
    <t xml:space="preserve">BREAKFAST CEREALS </t>
  </si>
  <si>
    <t xml:space="preserve">MACARONI, NOODLES, COUSCOUS AND SIMILAR PASTA PRODUCTS </t>
  </si>
  <si>
    <t xml:space="preserve">OTHER MILLED CEREAL AND GRAIN PRODUCTS </t>
  </si>
  <si>
    <t xml:space="preserve">CEREALS AND CEREAL PRODUCTS </t>
  </si>
  <si>
    <t xml:space="preserve">MEAT OF BOVINE ANIMALS, FRESH, CHILLED OR FROZEN </t>
  </si>
  <si>
    <t>MEAT OF PIGS, FRESH, CHILLED OR FROZEN</t>
  </si>
  <si>
    <t>MEAT OF GOATS, LAMBS AND SHEEP, FRESH, CHILLED OR FROZEN</t>
  </si>
  <si>
    <t>MEAT OF POULTRY, FRESH, CHILLED OR FROZEN</t>
  </si>
  <si>
    <t>MEAT OF HARES AND RABBITS FRESH, CHILLED OR FROZEN</t>
  </si>
  <si>
    <t xml:space="preserve">MEAT, FRESH, CHILLED OR FROZEN </t>
  </si>
  <si>
    <t xml:space="preserve">MEAT, DRIED, SALTED, IN BRINE OR SMOKED </t>
  </si>
  <si>
    <t xml:space="preserve">OFFAL, BLOOD AND OTHER PARTS OF SLAUGHTERED ANIMALS, FRESH, CHILLED OR FROZEN, DRIED, SALTED, IN BRINE OR SMOKED </t>
  </si>
  <si>
    <t xml:space="preserve">PREPARATIONS OF MEAT, OFFAL, BLOOD AND OTHER PARTS OF SLAUGHTERED ANIMALS </t>
  </si>
  <si>
    <t xml:space="preserve">LIVE ANIMALS, AND MEAT AND OTHER PARTS OF SLAUGHTERED LAND ANIMALS </t>
  </si>
  <si>
    <t xml:space="preserve">FISH, LIVE, FRESH, CHILLED OR FROZEN </t>
  </si>
  <si>
    <t xml:space="preserve">FISH, DRIED, SALTED, IN BRINE OR SMOKED </t>
  </si>
  <si>
    <t xml:space="preserve">FISH PREPARATIONS </t>
  </si>
  <si>
    <t xml:space="preserve">OTHER SEAFOOD, LIVE, FRESH, CHILLED OR FROZEN </t>
  </si>
  <si>
    <t xml:space="preserve">FISH AND OTHER SEAFOOD </t>
  </si>
  <si>
    <t xml:space="preserve">RAW AND WHOLE MILK </t>
  </si>
  <si>
    <t xml:space="preserve">SKIMMED MILK </t>
  </si>
  <si>
    <t xml:space="preserve">OTHER MILK AND CREAM </t>
  </si>
  <si>
    <t xml:space="preserve">NON-ANIMAL MILK </t>
  </si>
  <si>
    <t xml:space="preserve">CHEESE </t>
  </si>
  <si>
    <t xml:space="preserve">YOGHURT AND SIMILAR PRODUCTS </t>
  </si>
  <si>
    <t xml:space="preserve">MILK-BASED DESSERT AND BEVERAGES </t>
  </si>
  <si>
    <t xml:space="preserve">EGGS </t>
  </si>
  <si>
    <t xml:space="preserve">MILK, OTHER DAIRY PRODUCTS AND EGGS </t>
  </si>
  <si>
    <t>OLIVE OIL</t>
  </si>
  <si>
    <t>OTHER EDIBLE OILS</t>
  </si>
  <si>
    <t xml:space="preserve">VEGETABLE OILS </t>
  </si>
  <si>
    <t xml:space="preserve">BUTTER AND OTHER OILS AND FATS DERIVED FROM MILK </t>
  </si>
  <si>
    <t xml:space="preserve">MARGARINE AND SIMILAR PREPARATIONS </t>
  </si>
  <si>
    <t xml:space="preserve">OILS AND FATS </t>
  </si>
  <si>
    <t xml:space="preserve">FRUITS AND NUTS </t>
  </si>
  <si>
    <t xml:space="preserve">VEGETABLES, TUBERS, PLANTAINS, COOKING BANANAS AND PULSES </t>
  </si>
  <si>
    <t xml:space="preserve">CANE SUGAR AND BEET SUGAR </t>
  </si>
  <si>
    <t xml:space="preserve">OTHER SUGARS AND SUGAR SUBSTITUTES </t>
  </si>
  <si>
    <t xml:space="preserve">JAMS, MARMALADES, FRUIT JELLIES, PUREES AND PASTES, AND HONEY </t>
  </si>
  <si>
    <t xml:space="preserve">NUT PUREES, NUT BUTTERS AND NUT PASTES </t>
  </si>
  <si>
    <t xml:space="preserve">CHOCOLATE, COCOA AND COCOA-BASED FOOD PRODUCTS </t>
  </si>
  <si>
    <t xml:space="preserve">ICE, ICE CREAM AND SORBETS </t>
  </si>
  <si>
    <t xml:space="preserve">OTHER SUGAR CONFECTIONERY AND DESSERTS N.E.C. </t>
  </si>
  <si>
    <t xml:space="preserve">SUGAR, CONFECTIONERY AND DESSERTS </t>
  </si>
  <si>
    <t xml:space="preserve">READY-MADE FOOD </t>
  </si>
  <si>
    <t xml:space="preserve">BABY FOOD </t>
  </si>
  <si>
    <t xml:space="preserve">SALT, CONDIMENTS AND SAUCES </t>
  </si>
  <si>
    <t xml:space="preserve">SPICES, CULINARY HERBS AND SEEDS </t>
  </si>
  <si>
    <t xml:space="preserve">OTHER FOOD PRODUCTS N.E.C. </t>
  </si>
  <si>
    <t xml:space="preserve">READY-MADE FOOD AND OTHER FOOD PRODUCTS </t>
  </si>
  <si>
    <t>FOOD</t>
  </si>
  <si>
    <t xml:space="preserve">FRUIT AND VEGETABLE JUICES </t>
  </si>
  <si>
    <t xml:space="preserve">COFFEE AND COFFEE SUBSTITUTES </t>
  </si>
  <si>
    <t xml:space="preserve">TEA, MATE AND OTHER PLANT-DERIVED PRODUCTS FOR INFUSION </t>
  </si>
  <si>
    <t xml:space="preserve">COCOA DRINKS </t>
  </si>
  <si>
    <t xml:space="preserve">WATER </t>
  </si>
  <si>
    <t xml:space="preserve">SOFT DRINKS </t>
  </si>
  <si>
    <t>NON-ALCOHOLIC BEVERAGES</t>
  </si>
  <si>
    <t>FOOD AND NON-ALCOHOLIC BEVERAGES</t>
  </si>
  <si>
    <t xml:space="preserve">SPIRITS AND LIQUORS </t>
  </si>
  <si>
    <t xml:space="preserve">WINE FROM GRAPES </t>
  </si>
  <si>
    <t xml:space="preserve">WINE </t>
  </si>
  <si>
    <t xml:space="preserve">BEER </t>
  </si>
  <si>
    <t>ALCOHOLIC BEVERAGES</t>
  </si>
  <si>
    <t xml:space="preserve">CIGARETTES </t>
  </si>
  <si>
    <t xml:space="preserve">CIGARS </t>
  </si>
  <si>
    <t xml:space="preserve">OTHER TOBACCO PRODUCTS </t>
  </si>
  <si>
    <t>TOBACCO</t>
  </si>
  <si>
    <t>ALCOHOLIC BEVERAGES, TOBACCO AND NARCOTICS</t>
  </si>
  <si>
    <t>DIVISION 3: CLOTHING AND FOOTWEAR</t>
  </si>
  <si>
    <t xml:space="preserve">CLOTHING MATERIALS </t>
  </si>
  <si>
    <t xml:space="preserve">GARMENTS FOR MEN OR BOYS </t>
  </si>
  <si>
    <t xml:space="preserve">GARMENTS FOR WOMEN OR GIRLS </t>
  </si>
  <si>
    <t xml:space="preserve">GARMENTS FOR INFANTS (UNDER 2 YEARS OF AGE) </t>
  </si>
  <si>
    <t xml:space="preserve">GARMENTS </t>
  </si>
  <si>
    <t xml:space="preserve">OTHER ARTICLES OF CLOTHING </t>
  </si>
  <si>
    <t xml:space="preserve">CLOTHING ACCESSORIES </t>
  </si>
  <si>
    <t xml:space="preserve">OTHER ARTICLES OF CLOTHING AND CLOTHING ACCESSORIES </t>
  </si>
  <si>
    <t xml:space="preserve">CLEANING OF CLOTHING </t>
  </si>
  <si>
    <t xml:space="preserve">REPAIR, TAILORING AND HIRE OF CLOTHING </t>
  </si>
  <si>
    <t xml:space="preserve">CLEANING, REPAIR, TAILORING AND HIRE OF CLOTHING </t>
  </si>
  <si>
    <t>CLOTHING</t>
  </si>
  <si>
    <t xml:space="preserve">FOOTWEAR FOR MEN </t>
  </si>
  <si>
    <t xml:space="preserve">FOOTWEAR FOR WOMEN </t>
  </si>
  <si>
    <t xml:space="preserve">FOOTWEAR FOR INFANTS AND CHILDREN </t>
  </si>
  <si>
    <t xml:space="preserve">SHOES AND OTHER FOOTWEAR </t>
  </si>
  <si>
    <t xml:space="preserve">CLEANING, REPAIR AND HIRE OF FOOTWEAR </t>
  </si>
  <si>
    <t>FOOTWEAR</t>
  </si>
  <si>
    <t>CLOTHING AND FOOTWEAR</t>
  </si>
  <si>
    <t>DIVISION 4: HOUSING, WATER, ELECTRICITY, GAS AND OTHER FUELS</t>
  </si>
  <si>
    <t xml:space="preserve">ACTUAL RENTAL PAYMENTS MADE BY TENANTS FOR MAIN RESIDENCE </t>
  </si>
  <si>
    <t>ACTUAL RENTAL PAYMENTS MADE FOR HOUSING</t>
  </si>
  <si>
    <t xml:space="preserve">MATERIALS FOR THE MAINTENANCE AND REPAIR OF THE DWELLING </t>
  </si>
  <si>
    <t xml:space="preserve">SECURITY EQUIPMENT </t>
  </si>
  <si>
    <t>SECURITY EQUIPMENT AND MATERIALS FOR DWELLING MAINTENANCE AND REPAIR</t>
  </si>
  <si>
    <t xml:space="preserve">SERVICES FOR THE MAINTENANCE, REPAIR AND SECURITY OF THE DWELLING </t>
  </si>
  <si>
    <t>MAINTENANCE, REPAIR AND SECURITY OF THE DWELLING</t>
  </si>
  <si>
    <t xml:space="preserve">WATER SUPPLY DELIVERED THROUGH NETWORK SYSTEMS </t>
  </si>
  <si>
    <t xml:space="preserve">WATER SUPPLY </t>
  </si>
  <si>
    <t xml:space="preserve">REFUSE COLLECTION </t>
  </si>
  <si>
    <t xml:space="preserve">SEWAGE COLLECTION THROUGH SEWER SYSTEMS </t>
  </si>
  <si>
    <t xml:space="preserve">SEWAGE COLLECTION </t>
  </si>
  <si>
    <t xml:space="preserve">CHARGES FOR MAINTENANCE OF MULTI-OCCUPIED BUILDINGS </t>
  </si>
  <si>
    <t xml:space="preserve">OTHER SERVICES RELATED TO THE DWELLING </t>
  </si>
  <si>
    <t>WATER SUPPLY AND MISCELLANEOUS SERVICES RELATING TO THE DWELLING</t>
  </si>
  <si>
    <t xml:space="preserve">ELECTRICITY </t>
  </si>
  <si>
    <t xml:space="preserve">NATURAL GAS THROUGH NETWORKS </t>
  </si>
  <si>
    <t xml:space="preserve">LIQUEFIED HYDROCARBONS </t>
  </si>
  <si>
    <t xml:space="preserve">GAS </t>
  </si>
  <si>
    <t xml:space="preserve">LIQUID FUELS </t>
  </si>
  <si>
    <t xml:space="preserve">COAL, COAL BRIQUETTES, PEAT AND PEAT BRIQUETTES </t>
  </si>
  <si>
    <t xml:space="preserve">WOOD FUEL, INCLUDING PELLETS AND BRIQUETTES </t>
  </si>
  <si>
    <t xml:space="preserve">SOLID FUELS </t>
  </si>
  <si>
    <t>ELECTRICITY, GAS AND OTHER FUELS</t>
  </si>
  <si>
    <t>HOUSING, WATER, ELECTRICITY, GAS AND OTHER FUELS</t>
  </si>
  <si>
    <t>DIVISION 5: FURNISHINGS, HOUSEHOLD EQUIPMENT AND ROUTINE HOUSEHOLD MAINTENANCE</t>
  </si>
  <si>
    <t xml:space="preserve">HOUSEHOLD FURNITURE </t>
  </si>
  <si>
    <t xml:space="preserve">GARDEN AND CAMPING FURNITURE </t>
  </si>
  <si>
    <t xml:space="preserve">LIGHTING EQUIPMENT </t>
  </si>
  <si>
    <t xml:space="preserve">FURNISHINGS, LOOSE CARPETS AND RUGS </t>
  </si>
  <si>
    <t xml:space="preserve">FURNITURE, FURNISHINGS AND LOOSE CARPETS </t>
  </si>
  <si>
    <t>FURNITURE, FURNISHINGS, AND LOOSE CARPETS</t>
  </si>
  <si>
    <t xml:space="preserve">FURNISHING FABRICS AND CURTAINS </t>
  </si>
  <si>
    <t xml:space="preserve">BED LINEN AND BEDDING </t>
  </si>
  <si>
    <t xml:space="preserve">TABLE LINEN AND BATHROOM LINEN </t>
  </si>
  <si>
    <t xml:space="preserve">OTHER HOUSEHOLD TEXTILES </t>
  </si>
  <si>
    <t xml:space="preserve">HOUSEHOLD TEXTILES </t>
  </si>
  <si>
    <t>HOUSEHOLD TEXTILES</t>
  </si>
  <si>
    <t xml:space="preserve">MAJOR KITCHEN APPLIANCES </t>
  </si>
  <si>
    <t xml:space="preserve">MAJOR LAUNDRY APPLIANCES </t>
  </si>
  <si>
    <t xml:space="preserve">HEATERS AND AIR CONDITIONERS </t>
  </si>
  <si>
    <t xml:space="preserve">CLEANING EQUIPMENT </t>
  </si>
  <si>
    <t xml:space="preserve">MAJOR ELECTRIC AND OTHER HOUSEHOLD APPLIANCES </t>
  </si>
  <si>
    <t xml:space="preserve">SMALL APPLIANCES FOR THE COOKING AND PROCESSING OF FOOD </t>
  </si>
  <si>
    <t xml:space="preserve">SMALL APPLIANCES FOR THE PREPARATION OF BEVERAGES </t>
  </si>
  <si>
    <t xml:space="preserve">OTHER SMALL HOUSEHOLD APPLIANCES </t>
  </si>
  <si>
    <t xml:space="preserve">SMALL HOUSEHOLD APPLIANCES </t>
  </si>
  <si>
    <t xml:space="preserve">REPAIR, INSTALLATION AND HIRE OF HOUSEHOLD APPLIANCES </t>
  </si>
  <si>
    <t>HOUSEHOLD APPLIANCES</t>
  </si>
  <si>
    <t xml:space="preserve">GLASSWARE, CRYSTAL WARE, CERAMIC WARE AND CHINA WARE </t>
  </si>
  <si>
    <t xml:space="preserve">CUTLERY, FLATWARE AND SILVERWARE </t>
  </si>
  <si>
    <t xml:space="preserve">KITCHEN UTENSILS AND ARTICLES </t>
  </si>
  <si>
    <t>GLASSWARE, TABLEWARE AND HOUSEHOLD UTENSILS</t>
  </si>
  <si>
    <t xml:space="preserve">MOTORIZED TOOLS AND EQUIPMENT </t>
  </si>
  <si>
    <t xml:space="preserve">NON-MOTORIZED TOOLS </t>
  </si>
  <si>
    <t xml:space="preserve">MISCELLANEOUS ACCESSORIES </t>
  </si>
  <si>
    <t xml:space="preserve">NON-MOTORIZED TOOLS AND MISCELLANEOUS ACCESSORIES </t>
  </si>
  <si>
    <t>TOOLS AND EQUIPMENT FOR HOUSE AND GARDEN</t>
  </si>
  <si>
    <t xml:space="preserve">HOUSEHOLD CLEANING AND MAINTENANCE PRODUCTS </t>
  </si>
  <si>
    <t xml:space="preserve">OTHER NON-DURABLE HOUSEHOLD GOODS </t>
  </si>
  <si>
    <t xml:space="preserve">NON-DURABLE HOUSEHOLD GOODS </t>
  </si>
  <si>
    <t xml:space="preserve">DOMESTIC SERVICES PROVIDED BY PAID STAFF </t>
  </si>
  <si>
    <t xml:space="preserve">OTHER HOUSEHOLD SERVICES </t>
  </si>
  <si>
    <t xml:space="preserve">DOMESTIC SERVICES AND HOUSEHOLD SERVICES </t>
  </si>
  <si>
    <t>GOODS AND SERVICES FOR ROUTINE HOUSEHOLD MAINTENANCE</t>
  </si>
  <si>
    <t>FURNISHINGS, HOUSEHOLD EQUIPMENT AND ROUTINE HOUSEHOLD MAINTENANCE</t>
  </si>
  <si>
    <t>DIVISION 6: HEALTH</t>
  </si>
  <si>
    <t xml:space="preserve">MEDICINES, VACCINES AND OTHER PHARMACEUTICAL PREPARATIONS </t>
  </si>
  <si>
    <t xml:space="preserve">MEDICINES </t>
  </si>
  <si>
    <t xml:space="preserve">MEDICAL DIAGNOSTIC PRODUCTS </t>
  </si>
  <si>
    <t xml:space="preserve">PREVENTIVE AND PROTECTIVE DEVICES </t>
  </si>
  <si>
    <t xml:space="preserve">TREATMENT DEVICES FOR PERSONAL USE </t>
  </si>
  <si>
    <t xml:space="preserve">MEDICAL PRODUCTS </t>
  </si>
  <si>
    <t xml:space="preserve">ASSISTIVE PRODUCTS FOR VISION </t>
  </si>
  <si>
    <t xml:space="preserve">ASSISTIVE PRODUCTS FOR HEARING AND COMMUNICATION </t>
  </si>
  <si>
    <t xml:space="preserve">ASSISTIVE PRODUCTS FOR MOBILITY AND DAILY LIVING </t>
  </si>
  <si>
    <t xml:space="preserve">ASSISTIVE PRODUCTS </t>
  </si>
  <si>
    <t>MEDICINES AND HEALTH PRODUCTS</t>
  </si>
  <si>
    <t xml:space="preserve">OTHER PREVENTIVE CARE SERVICES </t>
  </si>
  <si>
    <t xml:space="preserve">PREVENTIVE CARE SERVICES </t>
  </si>
  <si>
    <t xml:space="preserve">DENTAL PREVENTIVE SERVICES </t>
  </si>
  <si>
    <t xml:space="preserve">OTHER OUTPATIENT DENTAL SERVICES </t>
  </si>
  <si>
    <t xml:space="preserve">OUTPATIENT DENTAL SERVICES </t>
  </si>
  <si>
    <t xml:space="preserve">OUTPATIENT CURATIVE AND REHABILITATIVE SERVICES </t>
  </si>
  <si>
    <t xml:space="preserve">OTHER OUTPATIENT CARE SERVICES </t>
  </si>
  <si>
    <t>OUTPATIENT CARE SERVICES</t>
  </si>
  <si>
    <t xml:space="preserve">INPATIENT CURATIVE AND REHABILITATIVE SERVICES </t>
  </si>
  <si>
    <t>INPATIENT CARE SERVICES</t>
  </si>
  <si>
    <t xml:space="preserve">DIAGNOSTIC IMAGING SERVICES AND MEDICAL LABORATORY SERVICES </t>
  </si>
  <si>
    <t>OTHER HEALTH SERVICES</t>
  </si>
  <si>
    <t>HEALTH</t>
  </si>
  <si>
    <t>DIVISION 7: TRANSPORT</t>
  </si>
  <si>
    <t xml:space="preserve">NEW MOTOR CARS </t>
  </si>
  <si>
    <t xml:space="preserve">SECOND-HAND MOTOR CARS </t>
  </si>
  <si>
    <t xml:space="preserve">MOTOR CARS </t>
  </si>
  <si>
    <t xml:space="preserve">MOTORCYCLES </t>
  </si>
  <si>
    <t xml:space="preserve">BICYCLES </t>
  </si>
  <si>
    <t>PURCHASE OF VEHICLES</t>
  </si>
  <si>
    <t xml:space="preserve">TYRES </t>
  </si>
  <si>
    <t xml:space="preserve">PARTS FOR PERSONAL TRANSPORT EQUIPMENT </t>
  </si>
  <si>
    <t xml:space="preserve">ACCESSORIES FOR PERSONAL TRANSPORT EQUIPMENT </t>
  </si>
  <si>
    <t xml:space="preserve">PARTS AND ACCESSORIES FOR PERSONAL TRANSPORT EQUIPMENT </t>
  </si>
  <si>
    <t xml:space="preserve">DIESEL </t>
  </si>
  <si>
    <t xml:space="preserve">PETROL </t>
  </si>
  <si>
    <t xml:space="preserve">OTHER FUELS FOR PERSONAL TRANSPORT EQUIPMENT </t>
  </si>
  <si>
    <t xml:space="preserve">LUBRICANTS </t>
  </si>
  <si>
    <t xml:space="preserve">FUELS AND LUBRICANTS FOR PERSONAL TRANSPORT EQUIPMENT </t>
  </si>
  <si>
    <t xml:space="preserve">MAINTENANCE AND REPAIR OF PERSONAL TRANSPORT EQUIPMENT </t>
  </si>
  <si>
    <t xml:space="preserve">PARKING SERVICES </t>
  </si>
  <si>
    <t xml:space="preserve">TOLL FACILITIES </t>
  </si>
  <si>
    <t xml:space="preserve">DRIVING LESSONS, TESTS, LICENCES AND ROADWORTHINESS TESTS </t>
  </si>
  <si>
    <t xml:space="preserve">HIRE OF PERSONAL TRANSPORT EQUIPMENT WITHOUT DRIVER </t>
  </si>
  <si>
    <t xml:space="preserve">OTHER SERVICES RELATED TO PERSONAL TRANSPORT EQUIPMENT </t>
  </si>
  <si>
    <t>OPERATION OF PERSONAL TRANSPORT EQUIPMENT</t>
  </si>
  <si>
    <t xml:space="preserve">PASSENGER TRANSPORT BY TRAIN </t>
  </si>
  <si>
    <t xml:space="preserve">PASSENGER TRANSPORT BY RAPID TRANSIT AND TRAM </t>
  </si>
  <si>
    <t xml:space="preserve">PASSENGER TRANSPORT BY RAILWAY </t>
  </si>
  <si>
    <t xml:space="preserve">PASSENGER TRANSPORT BY BUS AND COACH </t>
  </si>
  <si>
    <t xml:space="preserve">PASSENGER TRANSPORT BY TAXI AND HIRED VEHICLE WITH DRIVER </t>
  </si>
  <si>
    <t xml:space="preserve">PASSENGER TRANSPORT BY ROAD </t>
  </si>
  <si>
    <t xml:space="preserve">PASSENGER TRANSPORT BY AIR, DOMESTIC </t>
  </si>
  <si>
    <t xml:space="preserve">PASSENGER TRANSPORT BY AIR, INTERNATIONAL </t>
  </si>
  <si>
    <t xml:space="preserve">PASSENGER TRANSPORT BY AIR </t>
  </si>
  <si>
    <t xml:space="preserve">PASSENGER TRANSPORT BY SEA AND INLAND WATERWAY </t>
  </si>
  <si>
    <t xml:space="preserve">COMBINED PASSENGER TRANSPORT </t>
  </si>
  <si>
    <t>PASSENGER TRANSPORT SERVICES</t>
  </si>
  <si>
    <t xml:space="preserve">LETTER HANDLING SERVICES </t>
  </si>
  <si>
    <t xml:space="preserve">COURIER AND PARCEL DELIVERY SERVICES </t>
  </si>
  <si>
    <t xml:space="preserve">POSTAL AND COURIER SERVICES </t>
  </si>
  <si>
    <t xml:space="preserve">REMOVAL AND STORAGE SERVICES </t>
  </si>
  <si>
    <t xml:space="preserve">DELIVERY OF GOODS </t>
  </si>
  <si>
    <t xml:space="preserve">OTHER TRANSPORT OF GOODS </t>
  </si>
  <si>
    <t>TRANSPORT SERVICES FOR GOODS</t>
  </si>
  <si>
    <t>TRANSPORT</t>
  </si>
  <si>
    <t>DIVISION 8: INFORMATION AND COMMUNICATION</t>
  </si>
  <si>
    <t xml:space="preserve">FIXED TELEPHONE EQUIPMENT </t>
  </si>
  <si>
    <t xml:space="preserve">MOBILE TELEPHONE EQUIPMENT </t>
  </si>
  <si>
    <t xml:space="preserve">COMPUTERS, LAPTOPS AND TABLETS </t>
  </si>
  <si>
    <t xml:space="preserve">PERIPHERAL EQUIPMENT AND ITS CONSUMABLE COMPONENTS </t>
  </si>
  <si>
    <t xml:space="preserve">INFORMATION PROCESSING EQUIPMENT </t>
  </si>
  <si>
    <t xml:space="preserve">EQUIPMENT FOR THE RECEPTION, RECORDING AND REPRODUCTION OF SOUND AND VISION </t>
  </si>
  <si>
    <t xml:space="preserve">UNRECORDED RECORDING MEDIA </t>
  </si>
  <si>
    <t xml:space="preserve">OTHER INFORMATION AND COMMUNICATION EQUIPMENT </t>
  </si>
  <si>
    <t xml:space="preserve">OTHER INFORMATION AND COMMUNICATION ACCESSORIES </t>
  </si>
  <si>
    <t xml:space="preserve">OTHER INFORMATION AND COMMUNICATION EQUIPMENT AND ACCESSORIES </t>
  </si>
  <si>
    <t>INFORMATION AND COMMUNICATION EQUIPMENT</t>
  </si>
  <si>
    <t xml:space="preserve">SOFTWARE, EXCLUDING GAMES </t>
  </si>
  <si>
    <t>SOFTWARE, EXCLUDING GAMES</t>
  </si>
  <si>
    <t xml:space="preserve">FIXED COMMUNICATION SERVICES </t>
  </si>
  <si>
    <t xml:space="preserve">MOBILE COMMUNICATION SERVICES </t>
  </si>
  <si>
    <t xml:space="preserve">INTERNET ACCESS PROVISION SERVICES AND ONLINE STORAGE SERVICES </t>
  </si>
  <si>
    <t xml:space="preserve">BUNDLED TELECOMMUNICATION SERVICES </t>
  </si>
  <si>
    <t xml:space="preserve">REPAIR AND RENTAL OF INFORMATION AND COMMUNICATION EQUIPMENT </t>
  </si>
  <si>
    <t xml:space="preserve">TELEVISION AND RADIO LICENCES AND FEES </t>
  </si>
  <si>
    <t xml:space="preserve">SUBSCRIPTIONS TO AUDIOVISUAL STREAMING SERVICES AND RENTAL OF AUDIOVISUAL CONTENT </t>
  </si>
  <si>
    <t xml:space="preserve">OTHER INFORMATION AND COMMUNICATION SERVICES </t>
  </si>
  <si>
    <t>INFORMATION AND COMMUNICATION SERVICES</t>
  </si>
  <si>
    <t>INFORMATION AND COMMUNICATION</t>
  </si>
  <si>
    <t>DIVISION 9: RECREATION, SPORT AND CULTURE</t>
  </si>
  <si>
    <t xml:space="preserve">CAMERAS </t>
  </si>
  <si>
    <t xml:space="preserve">PHOTOGRAPHIC AND CINEMATOGRAPHIC EQUIPMENT AND OPTICAL INSTRUMENTS </t>
  </si>
  <si>
    <t xml:space="preserve">BOATS, YACHTS, OUTBOARD MOTORS AND OTHER WATER-SPORT EQUIPMENT </t>
  </si>
  <si>
    <t xml:space="preserve">MAJOR RECREATIONAL DURABLES </t>
  </si>
  <si>
    <t>RECREATIONAL DURABLES</t>
  </si>
  <si>
    <t xml:space="preserve">VIDEO GAME COMPUTERS, CONSOLES, GAME APPLICATIONS AND SOFTWARE </t>
  </si>
  <si>
    <t xml:space="preserve">OTHER GAMES, TOYS AND HOBBY-RELATED ARTICLES </t>
  </si>
  <si>
    <t xml:space="preserve">GAMES, TOYS AND HOBBY-RELATED ARTICLES </t>
  </si>
  <si>
    <t xml:space="preserve">SPORTING EQUIPMENT </t>
  </si>
  <si>
    <t xml:space="preserve">CAMPING AND OPEN-AIR RECREATION EQUIPMENT </t>
  </si>
  <si>
    <t xml:space="preserve">SPORTING, CAMPING AND OPEN-AIR RECREATION EQUIPMENT </t>
  </si>
  <si>
    <t>OTHER RECREATIONAL GOODS</t>
  </si>
  <si>
    <t xml:space="preserve">GARDEN PRODUCTS </t>
  </si>
  <si>
    <t xml:space="preserve">PLANTS, SEEDS AND FLOWERS </t>
  </si>
  <si>
    <t xml:space="preserve">GARDEN PRODUCTS, PLANTS AND FLOWERS </t>
  </si>
  <si>
    <t xml:space="preserve">PETS </t>
  </si>
  <si>
    <t xml:space="preserve">PRODUCTS FOR PETS AND OTHER HOUSEHOLD ANIMALS </t>
  </si>
  <si>
    <t xml:space="preserve">PETS AND PET PRODUCTS </t>
  </si>
  <si>
    <t>GARDEN PRODUCTS AND PETS</t>
  </si>
  <si>
    <t xml:space="preserve">HIRE, MAINTENANCE AND REPAIR OF OTHER MAJOR RECREATIONAL DURABLES </t>
  </si>
  <si>
    <t xml:space="preserve">HIRE, MAINTENANCE AND REPAIR OF MAJOR RECREATIONAL DURABLES </t>
  </si>
  <si>
    <t xml:space="preserve">HIRE AND REPAIR OF SPORTING, CAMPING AND OPEN-AIR RECREATIONAL EQUIPMENT </t>
  </si>
  <si>
    <t xml:space="preserve">VETERINARY AND OTHER SERVICES FOR PETS </t>
  </si>
  <si>
    <t xml:space="preserve">RECREATIONAL AND LEISURE SERVICES </t>
  </si>
  <si>
    <t xml:space="preserve">SERVICES ASSOCIATED WITH THE PRACTICE OF SPORTS </t>
  </si>
  <si>
    <t xml:space="preserve">SERVICES ASSOCIATED WITH ATTENDANCE AT SPORTING EVENTS </t>
  </si>
  <si>
    <t xml:space="preserve">RECREATIONAL AND SPORTING SERVICES </t>
  </si>
  <si>
    <t xml:space="preserve">GAMES OF CHANCE </t>
  </si>
  <si>
    <t>RECREATIONAL SERVICES</t>
  </si>
  <si>
    <t xml:space="preserve">MUSICAL INSTRUMENTS </t>
  </si>
  <si>
    <t>CULTURAL GOODS</t>
  </si>
  <si>
    <t xml:space="preserve">SERVICES PROVIDED BY CINEMAS, THEATRES AND CONCERT VENUES </t>
  </si>
  <si>
    <t xml:space="preserve">SERVICES PROVIDED BY MUSEUMS, LIBRARIES AND CULTURAL SITES </t>
  </si>
  <si>
    <t xml:space="preserve">PHOTOGRAPHIC SERVICES </t>
  </si>
  <si>
    <t>CULTURAL SERVICES</t>
  </si>
  <si>
    <t xml:space="preserve">EDUCATIONAL BOOKS AND TEXTBOOKS </t>
  </si>
  <si>
    <t xml:space="preserve">OTHER BOOKS </t>
  </si>
  <si>
    <t xml:space="preserve">BOOKS </t>
  </si>
  <si>
    <t xml:space="preserve">NEWSPAPERS </t>
  </si>
  <si>
    <t xml:space="preserve">MAGAZINES AND PERIODICALS </t>
  </si>
  <si>
    <t xml:space="preserve">NEWSPAPERS AND PERIODICALS </t>
  </si>
  <si>
    <t xml:space="preserve">MISCELLANEOUS PRINTED MATTER </t>
  </si>
  <si>
    <t xml:space="preserve">STATIONERY AND DRAWING MATERIALS </t>
  </si>
  <si>
    <t>NEWSPAPERS, BOOKS AND STATIONERY</t>
  </si>
  <si>
    <t xml:space="preserve">PACKAGE HOLIDAYS </t>
  </si>
  <si>
    <t>PACKAGE HOLIDAYS</t>
  </si>
  <si>
    <t>RECREATION, SPORT AND CULTURE</t>
  </si>
  <si>
    <t>DIVISION 10: EDUCATION SERVICES</t>
  </si>
  <si>
    <t xml:space="preserve">EARLY CHILDHOOD EDUCATION </t>
  </si>
  <si>
    <t xml:space="preserve">PRIMARY EDUCATION </t>
  </si>
  <si>
    <t xml:space="preserve">EARLY CHILDHOOD AND PRIMARY EDUCATION </t>
  </si>
  <si>
    <t>EARLY CHILDHOOD AND PRIMARY EDUCATION</t>
  </si>
  <si>
    <t xml:space="preserve">SECONDARY EDUCATION </t>
  </si>
  <si>
    <t>SECONDARY EDUCATION</t>
  </si>
  <si>
    <t xml:space="preserve">POST-SECONDARY NON-TERTIARY EDUCATION </t>
  </si>
  <si>
    <t>POST-SECONDARY NON-TERTIARY EDUCATION</t>
  </si>
  <si>
    <t xml:space="preserve">TERTIARY EDUCATION </t>
  </si>
  <si>
    <t>TERTIARY EDUCATION</t>
  </si>
  <si>
    <t>EDUCATION SERVICES</t>
  </si>
  <si>
    <t>DIVISION 11: RESTAURANTS AND ACCOMMODATION SERVICES</t>
  </si>
  <si>
    <t xml:space="preserve">RESTAURANTS, CAFES AND THE LIKE – WITH FULL SERVICE </t>
  </si>
  <si>
    <t xml:space="preserve">RESTAURANTS, CAFES AND THE LIKE – WITH LIMITED SERVICE </t>
  </si>
  <si>
    <t xml:space="preserve">RESTAURANTS, CAFES AND THE LIKE </t>
  </si>
  <si>
    <t xml:space="preserve">CANTEENS AND CAFETERIAS OF UNIVERSITIES, SCHOOLS AND KINDERGARTENS </t>
  </si>
  <si>
    <t xml:space="preserve">CANTEENS, CAFETERIAS AND REFECTORIES </t>
  </si>
  <si>
    <t>FOOD AND BEVERAGE SERVING SERVICES</t>
  </si>
  <si>
    <t xml:space="preserve">HOTELS, MOTELS, INNS AND SIMILAR ACCOMMODATION SERVICES </t>
  </si>
  <si>
    <t xml:space="preserve">HOLIDAY CENTRES, CAMPING SITES, YOUTH HOSTELS AND SIMILAR ACCOMMODATION SERVICES </t>
  </si>
  <si>
    <t>ACCOMMODATION SERVICES</t>
  </si>
  <si>
    <t>RESTAURANTS AND ACCOMMODATION SERVICES</t>
  </si>
  <si>
    <t>DIVISION 12: INSURANCE AND FINANCIAL SERVICES</t>
  </si>
  <si>
    <t xml:space="preserve">INSURANCE CONNECTED WITH HEALTH </t>
  </si>
  <si>
    <t xml:space="preserve">INSURANCE CONNECTED WITH DWELLINGS </t>
  </si>
  <si>
    <t xml:space="preserve">PERSONAL TRANSPORT INSURANCE </t>
  </si>
  <si>
    <t xml:space="preserve">TRAVEL INSURANCE </t>
  </si>
  <si>
    <t xml:space="preserve">INSURANCE CONNECTED WITH TRANSPORT </t>
  </si>
  <si>
    <t>INSURANCE</t>
  </si>
  <si>
    <t xml:space="preserve">EXPLICIT CHARGES BY DEPOSIT-TAKING CORPORATIONS </t>
  </si>
  <si>
    <t xml:space="preserve">OTHER FINANCIAL SERVICES N.E.C. </t>
  </si>
  <si>
    <t xml:space="preserve">OTHER FINANCIAL SERVICES </t>
  </si>
  <si>
    <t>FINANCIAL SERVICES</t>
  </si>
  <si>
    <t>INSURANCE AND FINANCIAL SERVICES</t>
  </si>
  <si>
    <t>DIVISION 13: PERSONAL CARE, SOCIAL PROTECTION AND MISCELLANEOUS GOODS AND SERVICES</t>
  </si>
  <si>
    <t xml:space="preserve">ELECTRIC APPLIANCES FOR PERSONAL CARE </t>
  </si>
  <si>
    <t xml:space="preserve">OTHER APPLIANCES, ARTICLES AND PRODUCTS FOR PERSONAL CARE </t>
  </si>
  <si>
    <t xml:space="preserve">HAIRDRESSING </t>
  </si>
  <si>
    <t xml:space="preserve">PERSONAL GROOMING TREATMENTS </t>
  </si>
  <si>
    <t xml:space="preserve">HAIRDRESSING SALONS AND PERSONAL GROOMING ESTABLISHMENTS </t>
  </si>
  <si>
    <t>PERSONAL CARE</t>
  </si>
  <si>
    <t xml:space="preserve">JEWELLERY AND WATCHES </t>
  </si>
  <si>
    <t xml:space="preserve">DEVOTIONAL ARTICLES AND ARTICLES FOR RELIGIOUS AND RITUAL CELEBRATIONS </t>
  </si>
  <si>
    <t xml:space="preserve">TRAVEL GOODS, BABY ARTICLES AND OTHER PERSONAL EFFECTS N.E.C. </t>
  </si>
  <si>
    <t xml:space="preserve">OTHER PERSONAL EFFECTS N.E.C. </t>
  </si>
  <si>
    <t>OTHER PERSONAL EFFECTS</t>
  </si>
  <si>
    <t xml:space="preserve">CHILDCARE SERVICES </t>
  </si>
  <si>
    <t xml:space="preserve">RETIREMENT HOMES FOR ELDERLY PERSONS AND RESIDENCES FOR DISABLED PERSONS, NOT PROVIDING MEDICAL CARE </t>
  </si>
  <si>
    <t xml:space="preserve">HOME CARE SERVICES FOR ELDERLY AND DISABLED </t>
  </si>
  <si>
    <t>SOCIAL PROTECTION</t>
  </si>
  <si>
    <t xml:space="preserve">OTHER SERVICES N.E.C. </t>
  </si>
  <si>
    <t>OTHER SERVICES</t>
  </si>
  <si>
    <t>PERSONAL CARE, SOCIAL PROTECTION AND MISCELLANEOUS GOODS AND SERVICES</t>
  </si>
  <si>
    <t>OVERALL INDEX</t>
  </si>
  <si>
    <t>Previous COICOP5 code is not fully corresponded with the code of new classification COICOP18</t>
  </si>
  <si>
    <t/>
  </si>
  <si>
    <t>DEC-2025</t>
  </si>
  <si>
    <t xml:space="preserve">TABLE VII. Monthly sub-indices of Consumer Price Index divisions, groups, classes and sub-groups of goods and services, for 2026 (Base year: 2020=100,0)                         </t>
  </si>
  <si>
    <t>YEAR :  2026</t>
  </si>
  <si>
    <t>DIVISION 2: ALCOHOLIC BEVERAGES AND TOBACCO</t>
  </si>
  <si>
    <t>ALCOHOLIC BEVERAGES AND TOBACCO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</si>
</sst>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0.00\ \ \ "/>
    <numFmt numFmtId="166" formatCode="0.00\ \ \ \ "/>
    <numFmt numFmtId="167" formatCode="0.00\ \ \ \ \ "/>
  </numFmts>
  <fonts count="18" x14ac:knownFonts="1">
    <font>
      <sz val="10"/>
      <name val="Courier"/>
      <charset val="161"/>
    </font>
    <font>
      <sz val="10"/>
      <name val="Courier"/>
      <family val="1"/>
      <charset val="161"/>
    </font>
    <font>
      <sz val="10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u/>
      <sz val="12"/>
      <name val="Calibri"/>
      <family val="2"/>
      <charset val="161"/>
    </font>
    <font>
      <b/>
      <sz val="14"/>
      <name val="Calibri"/>
      <family val="2"/>
      <charset val="161"/>
    </font>
    <font>
      <b/>
      <sz val="10"/>
      <name val="Calibri"/>
      <family val="2"/>
      <charset val="161"/>
    </font>
    <font>
      <b/>
      <sz val="9"/>
      <name val="Calibri"/>
      <family val="2"/>
      <charset val="161"/>
    </font>
    <font>
      <b/>
      <vertAlign val="subscript"/>
      <sz val="10"/>
      <name val="Calibri"/>
      <family val="2"/>
      <charset val="161"/>
    </font>
    <font>
      <b/>
      <u/>
      <sz val="10"/>
      <name val="Calibri"/>
      <family val="2"/>
      <charset val="161"/>
    </font>
    <font>
      <b/>
      <i/>
      <sz val="10"/>
      <name val="Calibri"/>
      <family val="2"/>
      <charset val="161"/>
    </font>
    <font>
      <sz val="10"/>
      <name val="Arial"/>
      <family val="2"/>
      <charset val="161"/>
    </font>
    <font>
      <b/>
      <sz val="10"/>
      <color indexed="9"/>
      <name val="Calibri"/>
      <family val="2"/>
    </font>
    <font>
      <sz val="10"/>
      <name val="Calibri"/>
      <family val="2"/>
    </font>
    <font>
      <sz val="10"/>
      <color indexed="9"/>
      <name val="Calibri"/>
      <family val="2"/>
      <charset val="161"/>
    </font>
    <font>
      <b/>
      <sz val="10"/>
      <name val="Calibri"/>
      <family val="2"/>
    </font>
    <font>
      <sz val="10"/>
      <color indexed="1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164" fontId="0" fillId="0" borderId="0"/>
    <xf numFmtId="164" fontId="1" fillId="0" borderId="0"/>
  </cellStyleXfs>
  <cellXfs count="71">
    <xf numFmtId="164" fontId="0" fillId="0" borderId="0" xfId="0"/>
    <xf numFmtId="164" fontId="2" fillId="0" borderId="0" xfId="0" applyFont="1"/>
    <xf numFmtId="164" fontId="3" fillId="0" borderId="0" xfId="0" applyFont="1" applyAlignment="1">
      <alignment horizontal="left" vertical="center"/>
    </xf>
    <xf numFmtId="164" fontId="4" fillId="0" borderId="0" xfId="0" applyFont="1" applyAlignment="1">
      <alignment horizontal="centerContinuous" vertical="top"/>
    </xf>
    <xf numFmtId="164" fontId="2" fillId="0" borderId="0" xfId="0" applyFont="1" applyAlignment="1">
      <alignment horizontal="centerContinuous"/>
    </xf>
    <xf numFmtId="2" fontId="2" fillId="0" borderId="0" xfId="0" applyNumberFormat="1" applyFont="1" applyAlignment="1">
      <alignment horizontal="centerContinuous"/>
    </xf>
    <xf numFmtId="164" fontId="2" fillId="0" borderId="1" xfId="0" applyFont="1" applyBorder="1" applyAlignment="1">
      <alignment horizontal="centerContinuous"/>
    </xf>
    <xf numFmtId="166" fontId="6" fillId="0" borderId="1" xfId="0" applyNumberFormat="1" applyFont="1" applyBorder="1"/>
    <xf numFmtId="164" fontId="7" fillId="0" borderId="2" xfId="0" applyFont="1" applyBorder="1" applyAlignment="1">
      <alignment horizontal="center" vertical="center" wrapText="1"/>
    </xf>
    <xf numFmtId="164" fontId="7" fillId="0" borderId="2" xfId="0" applyFont="1" applyBorder="1" applyAlignment="1">
      <alignment horizontal="center" vertical="center"/>
    </xf>
    <xf numFmtId="166" fontId="7" fillId="2" borderId="3" xfId="0" applyNumberFormat="1" applyFont="1" applyFill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Continuous" vertical="center"/>
    </xf>
    <xf numFmtId="2" fontId="7" fillId="0" borderId="3" xfId="0" applyNumberFormat="1" applyFont="1" applyBorder="1" applyAlignment="1">
      <alignment horizontal="centerContinuous" vertical="center"/>
    </xf>
    <xf numFmtId="0" fontId="7" fillId="0" borderId="3" xfId="0" applyNumberFormat="1" applyFont="1" applyBorder="1" applyAlignment="1">
      <alignment horizontal="centerContinuous" vertical="center"/>
    </xf>
    <xf numFmtId="2" fontId="7" fillId="0" borderId="2" xfId="0" applyNumberFormat="1" applyFont="1" applyBorder="1" applyAlignment="1">
      <alignment horizontal="centerContinuous" vertical="center"/>
    </xf>
    <xf numFmtId="166" fontId="9" fillId="0" borderId="5" xfId="0" applyNumberFormat="1" applyFont="1" applyBorder="1"/>
    <xf numFmtId="166" fontId="9" fillId="0" borderId="0" xfId="0" applyNumberFormat="1" applyFont="1"/>
    <xf numFmtId="2" fontId="2" fillId="0" borderId="6" xfId="0" applyNumberFormat="1" applyFont="1" applyBorder="1" applyAlignment="1">
      <alignment horizontal="centerContinuous"/>
    </xf>
    <xf numFmtId="2" fontId="2" fillId="0" borderId="0" xfId="0" applyNumberFormat="1" applyFont="1" applyAlignment="1">
      <alignment horizontal="center"/>
    </xf>
    <xf numFmtId="167" fontId="2" fillId="0" borderId="5" xfId="0" applyNumberFormat="1" applyFont="1" applyBorder="1" applyAlignment="1">
      <alignment horizontal="right"/>
    </xf>
    <xf numFmtId="167" fontId="2" fillId="0" borderId="7" xfId="0" applyNumberFormat="1" applyFont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2" borderId="7" xfId="0" applyNumberFormat="1" applyFont="1" applyFill="1" applyBorder="1" applyAlignment="1">
      <alignment horizontal="right"/>
    </xf>
    <xf numFmtId="2" fontId="2" fillId="0" borderId="3" xfId="0" applyNumberFormat="1" applyFont="1" applyBorder="1" applyAlignment="1">
      <alignment horizontal="center"/>
    </xf>
    <xf numFmtId="166" fontId="2" fillId="0" borderId="0" xfId="0" applyNumberFormat="1" applyFont="1"/>
    <xf numFmtId="164" fontId="11" fillId="0" borderId="0" xfId="0" applyFont="1"/>
    <xf numFmtId="166" fontId="11" fillId="0" borderId="0" xfId="0" applyNumberFormat="1" applyFont="1"/>
    <xf numFmtId="2" fontId="11" fillId="0" borderId="0" xfId="0" applyNumberFormat="1" applyFont="1" applyAlignment="1">
      <alignment horizontal="center"/>
    </xf>
    <xf numFmtId="166" fontId="12" fillId="0" borderId="0" xfId="0" applyNumberFormat="1" applyFont="1"/>
    <xf numFmtId="166" fontId="7" fillId="2" borderId="8" xfId="0" applyNumberFormat="1" applyFont="1" applyFill="1" applyBorder="1" applyAlignment="1">
      <alignment horizontal="center" vertical="center" wrapText="1"/>
    </xf>
    <xf numFmtId="164" fontId="2" fillId="0" borderId="0" xfId="0" applyFont="1" applyAlignment="1">
      <alignment vertical="center"/>
    </xf>
    <xf numFmtId="2" fontId="7" fillId="0" borderId="8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65" fontId="14" fillId="0" borderId="0" xfId="0" applyNumberFormat="1" applyFont="1" applyAlignment="1">
      <alignment horizontal="right"/>
    </xf>
    <xf numFmtId="2" fontId="14" fillId="0" borderId="0" xfId="0" applyNumberFormat="1" applyFont="1" applyAlignment="1">
      <alignment horizontal="center"/>
    </xf>
    <xf numFmtId="2" fontId="14" fillId="0" borderId="3" xfId="0" applyNumberFormat="1" applyFont="1" applyBorder="1" applyAlignment="1">
      <alignment horizontal="center"/>
    </xf>
    <xf numFmtId="164" fontId="2" fillId="0" borderId="0" xfId="0" applyFont="1" applyAlignment="1">
      <alignment horizontal="center"/>
    </xf>
    <xf numFmtId="164" fontId="5" fillId="0" borderId="1" xfId="0" applyFont="1" applyBorder="1" applyAlignment="1">
      <alignment horizontal="center" vertical="center"/>
    </xf>
    <xf numFmtId="2" fontId="2" fillId="0" borderId="5" xfId="1" applyNumberFormat="1" applyFont="1" applyBorder="1" applyAlignment="1">
      <alignment horizontal="center"/>
    </xf>
    <xf numFmtId="164" fontId="7" fillId="0" borderId="5" xfId="1" quotePrefix="1" applyFont="1" applyBorder="1" applyAlignment="1">
      <alignment horizontal="center"/>
    </xf>
    <xf numFmtId="164" fontId="7" fillId="0" borderId="5" xfId="1" applyFont="1" applyBorder="1" applyAlignment="1">
      <alignment horizontal="center"/>
    </xf>
    <xf numFmtId="164" fontId="7" fillId="0" borderId="5" xfId="0" quotePrefix="1" applyFont="1" applyBorder="1" applyAlignment="1">
      <alignment horizontal="center"/>
    </xf>
    <xf numFmtId="164" fontId="7" fillId="0" borderId="5" xfId="0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166" fontId="2" fillId="0" borderId="7" xfId="0" applyNumberFormat="1" applyFont="1" applyBorder="1"/>
    <xf numFmtId="165" fontId="2" fillId="2" borderId="8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165" fontId="2" fillId="0" borderId="8" xfId="0" applyNumberFormat="1" applyFont="1" applyBorder="1" applyAlignment="1">
      <alignment horizontal="right"/>
    </xf>
    <xf numFmtId="164" fontId="11" fillId="0" borderId="0" xfId="0" applyFont="1" applyAlignment="1">
      <alignment horizontal="left"/>
    </xf>
    <xf numFmtId="164" fontId="10" fillId="0" borderId="5" xfId="1" applyFont="1" applyBorder="1" applyAlignment="1">
      <alignment horizontal="left" indent="1"/>
    </xf>
    <xf numFmtId="2" fontId="2" fillId="0" borderId="5" xfId="1" applyNumberFormat="1" applyFont="1" applyBorder="1" applyAlignment="1">
      <alignment horizontal="left" indent="1"/>
    </xf>
    <xf numFmtId="164" fontId="2" fillId="0" borderId="5" xfId="1" applyFont="1" applyBorder="1" applyAlignment="1">
      <alignment horizontal="left" indent="1"/>
    </xf>
    <xf numFmtId="164" fontId="10" fillId="0" borderId="5" xfId="0" applyFont="1" applyBorder="1" applyAlignment="1">
      <alignment horizontal="left" indent="1"/>
    </xf>
    <xf numFmtId="164" fontId="2" fillId="0" borderId="5" xfId="0" applyFont="1" applyBorder="1" applyAlignment="1">
      <alignment horizontal="left" indent="1"/>
    </xf>
    <xf numFmtId="2" fontId="10" fillId="0" borderId="5" xfId="1" applyNumberFormat="1" applyFont="1" applyBorder="1" applyAlignment="1">
      <alignment horizontal="left" indent="1"/>
    </xf>
    <xf numFmtId="164" fontId="7" fillId="0" borderId="5" xfId="1" applyFont="1" applyBorder="1" applyAlignment="1">
      <alignment horizontal="left" indent="1"/>
    </xf>
    <xf numFmtId="2" fontId="7" fillId="0" borderId="5" xfId="1" applyNumberFormat="1" applyFont="1" applyBorder="1" applyAlignment="1">
      <alignment horizontal="left" indent="1"/>
    </xf>
    <xf numFmtId="2" fontId="10" fillId="0" borderId="5" xfId="0" applyNumberFormat="1" applyFont="1" applyBorder="1" applyAlignment="1">
      <alignment horizontal="left" indent="1"/>
    </xf>
    <xf numFmtId="2" fontId="7" fillId="0" borderId="5" xfId="0" applyNumberFormat="1" applyFont="1" applyBorder="1" applyAlignment="1">
      <alignment horizontal="left" indent="1"/>
    </xf>
    <xf numFmtId="2" fontId="7" fillId="0" borderId="8" xfId="0" applyNumberFormat="1" applyFont="1" applyBorder="1" applyAlignment="1">
      <alignment horizontal="left" vertical="center" indent="1"/>
    </xf>
    <xf numFmtId="2" fontId="7" fillId="0" borderId="5" xfId="1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horizontal="right"/>
    </xf>
    <xf numFmtId="2" fontId="17" fillId="0" borderId="0" xfId="0" applyNumberFormat="1" applyFont="1" applyAlignment="1">
      <alignment horizontal="center"/>
    </xf>
    <xf numFmtId="2" fontId="17" fillId="0" borderId="3" xfId="0" applyNumberFormat="1" applyFont="1" applyBorder="1" applyAlignment="1">
      <alignment horizontal="center"/>
    </xf>
  </cellXfs>
  <cellStyles count="2">
    <cellStyle name="Βασικό_ΜΙΚΡΗ ΑΝΑΛΥΣΗ 2013(N.T)" xfId="1" xr:uid="{8B091DFE-FA04-4B7E-8D7E-47056C2D4AC2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25400</xdr:rowOff>
    </xdr:from>
    <xdr:to>
      <xdr:col>0</xdr:col>
      <xdr:colOff>882650</xdr:colOff>
      <xdr:row>0</xdr:row>
      <xdr:rowOff>622300</xdr:rowOff>
    </xdr:to>
    <xdr:pic>
      <xdr:nvPicPr>
        <xdr:cNvPr id="1361" name="Picture 2" descr="sima_13x13">
          <a:extLst>
            <a:ext uri="{FF2B5EF4-FFF2-40B4-BE49-F238E27FC236}">
              <a16:creationId xmlns:a16="http://schemas.microsoft.com/office/drawing/2014/main" id="{282363DB-1411-185A-118C-FBDFD4695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8826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3943-9C2E-4D73-AB25-5A6A98D52757}">
  <sheetPr syncVertical="1" syncRef="A5" transitionEvaluation="1" transitionEntry="1" codeName="Φύλλο1"/>
  <dimension ref="A1:Q634"/>
  <sheetViews>
    <sheetView showGridLines="0" tabSelected="1" zoomScale="75" workbookViewId="0">
      <pane ySplit="4" topLeftCell="A5" activePane="bottomLeft" state="frozen"/>
      <selection pane="bottomLeft" activeCell="M3" sqref="M3"/>
    </sheetView>
  </sheetViews>
  <sheetFormatPr defaultColWidth="8" defaultRowHeight="13" x14ac:dyDescent="0.3"/>
  <cols>
    <col min="1" max="1" width="12.33203125" style="37" customWidth="1"/>
    <col min="2" max="2" width="66.58203125" style="1" customWidth="1"/>
    <col min="3" max="3" width="11.08203125" style="24" customWidth="1"/>
    <col min="4" max="4" width="9.33203125" style="24" customWidth="1"/>
    <col min="5" max="16" width="8.08203125" style="18" customWidth="1"/>
    <col min="17" max="17" width="9.58203125" style="18" customWidth="1"/>
    <col min="18" max="18" width="1.58203125" style="1" customWidth="1"/>
    <col min="19" max="16384" width="8" style="1"/>
  </cols>
  <sheetData>
    <row r="1" spans="1:17" ht="51" customHeight="1" x14ac:dyDescent="0.3">
      <c r="B1" s="2" t="s">
        <v>718</v>
      </c>
      <c r="C1" s="3"/>
      <c r="D1" s="3"/>
      <c r="E1" s="3"/>
      <c r="F1" s="3"/>
      <c r="G1" s="3"/>
      <c r="H1" s="4"/>
      <c r="I1" s="4"/>
      <c r="J1" s="4"/>
      <c r="K1" s="4"/>
      <c r="L1" s="5"/>
      <c r="M1" s="5"/>
      <c r="N1" s="5"/>
      <c r="O1" s="5"/>
      <c r="P1" s="5"/>
      <c r="Q1" s="5"/>
    </row>
    <row r="2" spans="1:17" ht="24" customHeight="1" x14ac:dyDescent="0.45">
      <c r="A2" s="38" t="s">
        <v>719</v>
      </c>
      <c r="B2" s="6"/>
      <c r="C2" s="7"/>
      <c r="D2" s="7"/>
      <c r="E2" s="67">
        <v>1</v>
      </c>
      <c r="F2" s="33">
        <v>2</v>
      </c>
      <c r="G2" s="33">
        <v>3</v>
      </c>
      <c r="H2" s="33">
        <v>4</v>
      </c>
      <c r="I2" s="33">
        <v>5</v>
      </c>
      <c r="J2" s="33">
        <v>6</v>
      </c>
      <c r="K2" s="33">
        <v>7</v>
      </c>
      <c r="L2" s="33">
        <v>8</v>
      </c>
      <c r="M2" s="33">
        <v>9</v>
      </c>
      <c r="N2" s="33">
        <v>10</v>
      </c>
      <c r="O2" s="33">
        <v>11</v>
      </c>
      <c r="P2" s="33">
        <v>12</v>
      </c>
      <c r="Q2" s="48"/>
    </row>
    <row r="3" spans="1:17" s="30" customFormat="1" ht="49.5" customHeight="1" x14ac:dyDescent="0.25">
      <c r="A3" s="8" t="s">
        <v>359</v>
      </c>
      <c r="B3" s="9" t="s">
        <v>214</v>
      </c>
      <c r="C3" s="29" t="s">
        <v>232</v>
      </c>
      <c r="D3" s="10" t="s">
        <v>717</v>
      </c>
      <c r="E3" s="11" t="s">
        <v>215</v>
      </c>
      <c r="F3" s="12" t="s">
        <v>216</v>
      </c>
      <c r="G3" s="13" t="s">
        <v>217</v>
      </c>
      <c r="H3" s="12" t="s">
        <v>218</v>
      </c>
      <c r="I3" s="12" t="s">
        <v>213</v>
      </c>
      <c r="J3" s="12" t="s">
        <v>219</v>
      </c>
      <c r="K3" s="12" t="s">
        <v>220</v>
      </c>
      <c r="L3" s="12" t="s">
        <v>221</v>
      </c>
      <c r="M3" s="12" t="s">
        <v>222</v>
      </c>
      <c r="N3" s="12" t="s">
        <v>223</v>
      </c>
      <c r="O3" s="12" t="s">
        <v>224</v>
      </c>
      <c r="P3" s="14" t="s">
        <v>225</v>
      </c>
      <c r="Q3" s="31" t="s">
        <v>226</v>
      </c>
    </row>
    <row r="4" spans="1:17" ht="6" hidden="1" customHeight="1" thickBot="1" x14ac:dyDescent="0.45">
      <c r="C4" s="15"/>
      <c r="D4" s="16"/>
      <c r="E4" s="17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7" ht="24.75" customHeight="1" x14ac:dyDescent="0.3">
      <c r="A5" s="39"/>
      <c r="B5" s="55" t="s">
        <v>360</v>
      </c>
      <c r="C5" s="19"/>
      <c r="D5" s="20"/>
      <c r="Q5" s="32"/>
    </row>
    <row r="6" spans="1:17" x14ac:dyDescent="0.3">
      <c r="A6" s="39"/>
      <c r="B6" s="56"/>
      <c r="C6" s="19"/>
      <c r="D6" s="20"/>
      <c r="Q6" s="32"/>
    </row>
    <row r="7" spans="1:17" x14ac:dyDescent="0.3">
      <c r="A7" s="40" t="s">
        <v>3</v>
      </c>
      <c r="B7" s="57" t="s">
        <v>361</v>
      </c>
      <c r="C7" s="46">
        <v>1.9235509007523961</v>
      </c>
      <c r="D7" s="22">
        <v>122.479025243813</v>
      </c>
      <c r="E7" s="34">
        <v>119.209026382465</v>
      </c>
      <c r="F7" s="34">
        <v>122.67740921212101</v>
      </c>
      <c r="G7" s="34">
        <v>120.833333944431</v>
      </c>
      <c r="H7" s="35">
        <v>117.854488490628</v>
      </c>
      <c r="I7" s="35">
        <v>119.628172387134</v>
      </c>
      <c r="J7" s="34">
        <v>114.707987674249</v>
      </c>
      <c r="K7" s="34">
        <v>119.13173078404</v>
      </c>
      <c r="L7" s="34">
        <v>121.856678566387</v>
      </c>
      <c r="M7" s="68">
        <v>114.73371189505001</v>
      </c>
      <c r="N7" s="21"/>
      <c r="O7" s="21"/>
      <c r="P7" s="21"/>
      <c r="Q7" s="52" t="str">
        <f>IF(P7="","",AVERAGE(E7:P7))</f>
        <v/>
      </c>
    </row>
    <row r="8" spans="1:17" x14ac:dyDescent="0.3">
      <c r="A8" s="40" t="s">
        <v>4</v>
      </c>
      <c r="B8" s="57" t="s">
        <v>362</v>
      </c>
      <c r="C8" s="46">
        <v>1.0046936332192875</v>
      </c>
      <c r="D8" s="22">
        <v>123.36723794198159</v>
      </c>
      <c r="E8" s="34">
        <v>130.18601091573399</v>
      </c>
      <c r="F8" s="34">
        <v>131.08535113517101</v>
      </c>
      <c r="G8" s="34">
        <v>125.97049595973</v>
      </c>
      <c r="H8" s="35">
        <v>121.96785720462</v>
      </c>
      <c r="I8" s="35">
        <v>130.40684262739501</v>
      </c>
      <c r="J8" s="34">
        <v>132.50106745307701</v>
      </c>
      <c r="K8" s="34">
        <v>134.33629488115801</v>
      </c>
      <c r="L8" s="34">
        <v>132.641196352187</v>
      </c>
      <c r="M8" s="68">
        <v>132.164048017151</v>
      </c>
      <c r="N8" s="21"/>
      <c r="O8" s="21"/>
      <c r="P8" s="21"/>
      <c r="Q8" s="52" t="str">
        <f t="shared" ref="Q8:Q71" si="0">IF(P8="","",AVERAGE(E8:P8))</f>
        <v/>
      </c>
    </row>
    <row r="9" spans="1:17" x14ac:dyDescent="0.3">
      <c r="A9" s="40" t="s">
        <v>5</v>
      </c>
      <c r="B9" s="57" t="s">
        <v>363</v>
      </c>
      <c r="C9" s="46">
        <v>21.189702591596603</v>
      </c>
      <c r="D9" s="22">
        <v>131.84751053368987</v>
      </c>
      <c r="E9" s="34">
        <v>133.19545379024399</v>
      </c>
      <c r="F9" s="34">
        <v>132.75813427405399</v>
      </c>
      <c r="G9" s="34">
        <v>132.83688978701699</v>
      </c>
      <c r="H9" s="35">
        <v>132.42362584532401</v>
      </c>
      <c r="I9" s="35">
        <v>133.277020677504</v>
      </c>
      <c r="J9" s="34">
        <v>133.812334316468</v>
      </c>
      <c r="K9" s="34">
        <v>133.83239901887799</v>
      </c>
      <c r="L9" s="34">
        <v>134.06659433214699</v>
      </c>
      <c r="M9" s="68">
        <v>133.710879191891</v>
      </c>
      <c r="N9" s="21"/>
      <c r="O9" s="21"/>
      <c r="P9" s="21"/>
      <c r="Q9" s="52" t="str">
        <f t="shared" si="0"/>
        <v/>
      </c>
    </row>
    <row r="10" spans="1:17" x14ac:dyDescent="0.3">
      <c r="A10" s="40" t="s">
        <v>6</v>
      </c>
      <c r="B10" s="57" t="s">
        <v>364</v>
      </c>
      <c r="C10" s="46">
        <v>1.6651711279202204</v>
      </c>
      <c r="D10" s="22">
        <v>116.24983937033561</v>
      </c>
      <c r="E10" s="34">
        <v>119.884945230574</v>
      </c>
      <c r="F10" s="34">
        <v>123.330718531652</v>
      </c>
      <c r="G10" s="34">
        <v>116.840086200714</v>
      </c>
      <c r="H10" s="35">
        <v>119.53571399281201</v>
      </c>
      <c r="I10" s="35">
        <v>111.25751624749699</v>
      </c>
      <c r="J10" s="34">
        <v>120.287430413677</v>
      </c>
      <c r="K10" s="34">
        <v>113.594484159706</v>
      </c>
      <c r="L10" s="34">
        <v>115.89941106319699</v>
      </c>
      <c r="M10" s="68">
        <v>109.406893502538</v>
      </c>
      <c r="N10" s="21"/>
      <c r="O10" s="21"/>
      <c r="P10" s="21"/>
      <c r="Q10" s="52" t="str">
        <f t="shared" si="0"/>
        <v/>
      </c>
    </row>
    <row r="11" spans="1:17" x14ac:dyDescent="0.3">
      <c r="A11" s="40" t="s">
        <v>7</v>
      </c>
      <c r="B11" s="57" t="s">
        <v>365</v>
      </c>
      <c r="C11" s="46">
        <v>2.958509114005218</v>
      </c>
      <c r="D11" s="22">
        <v>112.7471044580723</v>
      </c>
      <c r="E11" s="34">
        <v>111.757807286556</v>
      </c>
      <c r="F11" s="34">
        <v>112.99436717963501</v>
      </c>
      <c r="G11" s="34">
        <v>109.03929115025601</v>
      </c>
      <c r="H11" s="35">
        <v>113.43387134201301</v>
      </c>
      <c r="I11" s="35">
        <v>115.656562359798</v>
      </c>
      <c r="J11" s="34">
        <v>114.169331830839</v>
      </c>
      <c r="K11" s="34">
        <v>111.763088195463</v>
      </c>
      <c r="L11" s="34">
        <v>107.980905351156</v>
      </c>
      <c r="M11" s="68">
        <v>105.121721892344</v>
      </c>
      <c r="N11" s="21"/>
      <c r="O11" s="21"/>
      <c r="P11" s="21"/>
      <c r="Q11" s="52" t="str">
        <f t="shared" si="0"/>
        <v/>
      </c>
    </row>
    <row r="12" spans="1:17" x14ac:dyDescent="0.3">
      <c r="A12" s="40" t="s">
        <v>233</v>
      </c>
      <c r="B12" s="57" t="s">
        <v>366</v>
      </c>
      <c r="C12" s="46">
        <v>0.39708091369493703</v>
      </c>
      <c r="D12" s="22">
        <v>115.15979774537344</v>
      </c>
      <c r="E12" s="34">
        <v>120.991521955284</v>
      </c>
      <c r="F12" s="34">
        <v>116.362802995759</v>
      </c>
      <c r="G12" s="34">
        <v>117.563878876852</v>
      </c>
      <c r="H12" s="35">
        <v>114.59522900253801</v>
      </c>
      <c r="I12" s="35">
        <v>119.630016407459</v>
      </c>
      <c r="J12" s="34">
        <v>116.857362698694</v>
      </c>
      <c r="K12" s="34">
        <v>119.916080895357</v>
      </c>
      <c r="L12" s="34">
        <v>117.331756255953</v>
      </c>
      <c r="M12" s="68">
        <v>113.637213178311</v>
      </c>
      <c r="N12" s="21"/>
      <c r="O12" s="21"/>
      <c r="P12" s="21"/>
      <c r="Q12" s="52" t="str">
        <f t="shared" si="0"/>
        <v/>
      </c>
    </row>
    <row r="13" spans="1:17" x14ac:dyDescent="0.3">
      <c r="A13" s="40"/>
      <c r="B13" s="57"/>
      <c r="C13" s="46" t="s">
        <v>716</v>
      </c>
      <c r="D13" s="22" t="s">
        <v>716</v>
      </c>
      <c r="E13" s="34"/>
      <c r="F13" s="34"/>
      <c r="G13" s="34"/>
      <c r="H13" s="35"/>
      <c r="I13" s="35"/>
      <c r="J13" s="34"/>
      <c r="K13" s="34"/>
      <c r="L13" s="34"/>
      <c r="M13" s="68"/>
      <c r="N13" s="21"/>
      <c r="O13" s="21"/>
      <c r="P13" s="21"/>
      <c r="Q13" s="52" t="str">
        <f t="shared" si="0"/>
        <v/>
      </c>
    </row>
    <row r="14" spans="1:17" x14ac:dyDescent="0.3">
      <c r="A14" s="40" t="s">
        <v>8</v>
      </c>
      <c r="B14" s="57" t="s">
        <v>367</v>
      </c>
      <c r="C14" s="46">
        <v>29.138708281188663</v>
      </c>
      <c r="D14" s="22">
        <v>127.57816466380331</v>
      </c>
      <c r="E14" s="34">
        <v>128.74729115171399</v>
      </c>
      <c r="F14" s="34">
        <v>128.998418780799</v>
      </c>
      <c r="G14" s="34">
        <v>127.90133658460699</v>
      </c>
      <c r="H14" s="35">
        <v>127.89211322036</v>
      </c>
      <c r="I14" s="35">
        <v>128.72767545503299</v>
      </c>
      <c r="J14" s="34">
        <v>129.194292359375</v>
      </c>
      <c r="K14" s="34">
        <v>128.92801374328499</v>
      </c>
      <c r="L14" s="34">
        <v>128.89074993519901</v>
      </c>
      <c r="M14" s="68">
        <v>127.342207256162</v>
      </c>
      <c r="N14" s="21"/>
      <c r="O14" s="21"/>
      <c r="P14" s="21"/>
      <c r="Q14" s="52" t="str">
        <f t="shared" si="0"/>
        <v/>
      </c>
    </row>
    <row r="15" spans="1:17" x14ac:dyDescent="0.3">
      <c r="A15" s="40"/>
      <c r="B15" s="57"/>
      <c r="C15" s="46" t="s">
        <v>716</v>
      </c>
      <c r="D15" s="22" t="s">
        <v>716</v>
      </c>
      <c r="E15" s="34"/>
      <c r="F15" s="34"/>
      <c r="G15" s="34"/>
      <c r="H15" s="35"/>
      <c r="I15" s="35"/>
      <c r="J15" s="34"/>
      <c r="K15" s="34"/>
      <c r="L15" s="34"/>
      <c r="M15" s="68"/>
      <c r="N15" s="21"/>
      <c r="O15" s="21"/>
      <c r="P15" s="21"/>
      <c r="Q15" s="52" t="str">
        <f t="shared" si="0"/>
        <v/>
      </c>
    </row>
    <row r="16" spans="1:17" x14ac:dyDescent="0.3">
      <c r="A16" s="40" t="s">
        <v>234</v>
      </c>
      <c r="B16" s="57" t="s">
        <v>368</v>
      </c>
      <c r="C16" s="46">
        <v>21.04917366378557</v>
      </c>
      <c r="D16" s="22">
        <v>172.84077223078435</v>
      </c>
      <c r="E16" s="34">
        <v>173.43329511540401</v>
      </c>
      <c r="F16" s="34">
        <v>175.75026321637</v>
      </c>
      <c r="G16" s="34">
        <v>174.90182901610601</v>
      </c>
      <c r="H16" s="35">
        <v>175.10656287489701</v>
      </c>
      <c r="I16" s="35">
        <v>175.62914589704999</v>
      </c>
      <c r="J16" s="34">
        <v>175.064460589432</v>
      </c>
      <c r="K16" s="34">
        <v>174.94694969548101</v>
      </c>
      <c r="L16" s="34">
        <v>175.28457935615</v>
      </c>
      <c r="M16" s="68">
        <v>176.846085836208</v>
      </c>
      <c r="N16" s="21"/>
      <c r="O16" s="21"/>
      <c r="P16" s="21"/>
      <c r="Q16" s="52" t="str">
        <f t="shared" si="0"/>
        <v/>
      </c>
    </row>
    <row r="17" spans="1:17" x14ac:dyDescent="0.3">
      <c r="A17" s="40" t="s">
        <v>235</v>
      </c>
      <c r="B17" s="57" t="s">
        <v>369</v>
      </c>
      <c r="C17" s="46">
        <v>7.8133515809980043</v>
      </c>
      <c r="D17" s="22">
        <v>137.04892866788606</v>
      </c>
      <c r="E17" s="34">
        <v>137.01673455232299</v>
      </c>
      <c r="F17" s="34">
        <v>133.128548405278</v>
      </c>
      <c r="G17" s="34">
        <v>133.05384545966501</v>
      </c>
      <c r="H17" s="35">
        <v>136.35107659090301</v>
      </c>
      <c r="I17" s="35">
        <v>135.38825618863299</v>
      </c>
      <c r="J17" s="34">
        <v>133.56239135547</v>
      </c>
      <c r="K17" s="34">
        <v>136.25336783347799</v>
      </c>
      <c r="L17" s="34">
        <v>133.956174588397</v>
      </c>
      <c r="M17" s="68">
        <v>138.85313816715799</v>
      </c>
      <c r="N17" s="21"/>
      <c r="O17" s="21"/>
      <c r="P17" s="21"/>
      <c r="Q17" s="52" t="str">
        <f t="shared" si="0"/>
        <v/>
      </c>
    </row>
    <row r="18" spans="1:17" x14ac:dyDescent="0.3">
      <c r="A18" s="40" t="s">
        <v>236</v>
      </c>
      <c r="B18" s="57" t="s">
        <v>370</v>
      </c>
      <c r="C18" s="46">
        <v>6.6390007855739253</v>
      </c>
      <c r="D18" s="22">
        <v>171.26339531640133</v>
      </c>
      <c r="E18" s="34">
        <v>167.34376239126101</v>
      </c>
      <c r="F18" s="34">
        <v>170.014719887182</v>
      </c>
      <c r="G18" s="34">
        <v>172.36962484831699</v>
      </c>
      <c r="H18" s="35">
        <v>182.12198582356601</v>
      </c>
      <c r="I18" s="35">
        <v>178.657582687153</v>
      </c>
      <c r="J18" s="34">
        <v>179.03307539039099</v>
      </c>
      <c r="K18" s="34">
        <v>174.708374058575</v>
      </c>
      <c r="L18" s="34">
        <v>175.765560723211</v>
      </c>
      <c r="M18" s="68">
        <v>178.011895665384</v>
      </c>
      <c r="N18" s="21"/>
      <c r="O18" s="21"/>
      <c r="P18" s="21"/>
      <c r="Q18" s="52" t="str">
        <f t="shared" si="0"/>
        <v/>
      </c>
    </row>
    <row r="19" spans="1:17" x14ac:dyDescent="0.3">
      <c r="A19" s="40" t="s">
        <v>237</v>
      </c>
      <c r="B19" s="57" t="s">
        <v>371</v>
      </c>
      <c r="C19" s="46">
        <v>7.3694143116566471</v>
      </c>
      <c r="D19" s="22">
        <v>130.85036711069631</v>
      </c>
      <c r="E19" s="34">
        <v>132.968198469317</v>
      </c>
      <c r="F19" s="34">
        <v>133.77024659748301</v>
      </c>
      <c r="G19" s="34">
        <v>134.091777980188</v>
      </c>
      <c r="H19" s="35">
        <v>130.208318227132</v>
      </c>
      <c r="I19" s="35">
        <v>132.23839206281201</v>
      </c>
      <c r="J19" s="34">
        <v>131.402077966897</v>
      </c>
      <c r="K19" s="34">
        <v>131.64046587873401</v>
      </c>
      <c r="L19" s="34">
        <v>134.31073424738199</v>
      </c>
      <c r="M19" s="68">
        <v>132.71207332125499</v>
      </c>
      <c r="N19" s="21"/>
      <c r="O19" s="21"/>
      <c r="P19" s="21"/>
      <c r="Q19" s="52" t="str">
        <f t="shared" si="0"/>
        <v/>
      </c>
    </row>
    <row r="20" spans="1:17" x14ac:dyDescent="0.3">
      <c r="A20" s="40" t="s">
        <v>238</v>
      </c>
      <c r="B20" s="57" t="s">
        <v>372</v>
      </c>
      <c r="C20" s="46">
        <v>0.16357325180153215</v>
      </c>
      <c r="D20" s="22">
        <v>135.46377670491867</v>
      </c>
      <c r="E20" s="34">
        <v>137.16266105223301</v>
      </c>
      <c r="F20" s="34">
        <v>138.252092382678</v>
      </c>
      <c r="G20" s="34">
        <v>140.57778974181599</v>
      </c>
      <c r="H20" s="35">
        <v>138.51044980262299</v>
      </c>
      <c r="I20" s="35">
        <v>138.31407583506601</v>
      </c>
      <c r="J20" s="34">
        <v>137.22976577789899</v>
      </c>
      <c r="K20" s="34">
        <v>137.71763782945399</v>
      </c>
      <c r="L20" s="34">
        <v>137.472433447356</v>
      </c>
      <c r="M20" s="68">
        <v>137.683805996106</v>
      </c>
      <c r="N20" s="21"/>
      <c r="O20" s="21"/>
      <c r="P20" s="21"/>
      <c r="Q20" s="52" t="str">
        <f t="shared" si="0"/>
        <v/>
      </c>
    </row>
    <row r="21" spans="1:17" x14ac:dyDescent="0.3">
      <c r="A21" s="40"/>
      <c r="B21" s="57"/>
      <c r="C21" s="46" t="s">
        <v>716</v>
      </c>
      <c r="D21" s="22" t="s">
        <v>716</v>
      </c>
      <c r="E21" s="34"/>
      <c r="F21" s="34"/>
      <c r="G21" s="34"/>
      <c r="H21" s="35"/>
      <c r="I21" s="35"/>
      <c r="J21" s="34"/>
      <c r="K21" s="34"/>
      <c r="L21" s="34"/>
      <c r="M21" s="68"/>
      <c r="N21" s="21"/>
      <c r="O21" s="21"/>
      <c r="P21" s="21"/>
      <c r="Q21" s="52" t="str">
        <f t="shared" si="0"/>
        <v/>
      </c>
    </row>
    <row r="22" spans="1:17" x14ac:dyDescent="0.3">
      <c r="A22" s="40" t="s">
        <v>9</v>
      </c>
      <c r="B22" s="57" t="s">
        <v>373</v>
      </c>
      <c r="C22" s="46">
        <v>43.034513593815682</v>
      </c>
      <c r="D22" s="22">
        <v>155.02903473711237</v>
      </c>
      <c r="E22" s="34">
        <v>155.172074990531</v>
      </c>
      <c r="F22" s="34">
        <v>155.930472012303</v>
      </c>
      <c r="G22" s="34">
        <v>155.947115248008</v>
      </c>
      <c r="H22" s="35">
        <v>157.27912064718001</v>
      </c>
      <c r="I22" s="35">
        <v>157.237867868032</v>
      </c>
      <c r="J22" s="34">
        <v>156.49317745593501</v>
      </c>
      <c r="K22" s="34">
        <v>156.44084845345699</v>
      </c>
      <c r="L22" s="34">
        <v>156.80550518123201</v>
      </c>
      <c r="M22" s="68">
        <v>158.48657105401099</v>
      </c>
      <c r="N22" s="21"/>
      <c r="O22" s="21"/>
      <c r="P22" s="21"/>
      <c r="Q22" s="52" t="str">
        <f t="shared" si="0"/>
        <v/>
      </c>
    </row>
    <row r="23" spans="1:17" x14ac:dyDescent="0.3">
      <c r="A23" s="40"/>
      <c r="B23" s="57"/>
      <c r="C23" s="46" t="s">
        <v>716</v>
      </c>
      <c r="D23" s="22" t="s">
        <v>716</v>
      </c>
      <c r="E23" s="34"/>
      <c r="F23" s="34"/>
      <c r="G23" s="34"/>
      <c r="H23" s="35"/>
      <c r="I23" s="35"/>
      <c r="J23" s="34"/>
      <c r="K23" s="34"/>
      <c r="L23" s="34"/>
      <c r="M23" s="68"/>
      <c r="N23" s="21"/>
      <c r="O23" s="21"/>
      <c r="P23" s="21"/>
      <c r="Q23" s="52" t="str">
        <f t="shared" si="0"/>
        <v/>
      </c>
    </row>
    <row r="24" spans="1:17" x14ac:dyDescent="0.3">
      <c r="A24" s="40" t="s">
        <v>10</v>
      </c>
      <c r="B24" s="57" t="s">
        <v>374</v>
      </c>
      <c r="C24" s="46">
        <v>2.7993124201076114</v>
      </c>
      <c r="D24" s="22">
        <v>116.42372381365053</v>
      </c>
      <c r="E24" s="34">
        <v>119.38373080951099</v>
      </c>
      <c r="F24" s="34">
        <v>119.212867135038</v>
      </c>
      <c r="G24" s="34">
        <v>120.823642849387</v>
      </c>
      <c r="H24" s="35">
        <v>124.043767239058</v>
      </c>
      <c r="I24" s="35">
        <v>123.612510682053</v>
      </c>
      <c r="J24" s="34">
        <v>121.86274945150601</v>
      </c>
      <c r="K24" s="34">
        <v>120.492963086668</v>
      </c>
      <c r="L24" s="34">
        <v>124.04253906318201</v>
      </c>
      <c r="M24" s="68">
        <v>120.491726335463</v>
      </c>
      <c r="N24" s="21"/>
      <c r="O24" s="21"/>
      <c r="P24" s="21"/>
      <c r="Q24" s="52" t="str">
        <f t="shared" si="0"/>
        <v/>
      </c>
    </row>
    <row r="25" spans="1:17" x14ac:dyDescent="0.3">
      <c r="A25" s="40" t="s">
        <v>11</v>
      </c>
      <c r="B25" s="57" t="s">
        <v>375</v>
      </c>
      <c r="C25" s="46">
        <v>0.2667807276036725</v>
      </c>
      <c r="D25" s="22">
        <v>138.58562421527506</v>
      </c>
      <c r="E25" s="34">
        <v>135.076206698634</v>
      </c>
      <c r="F25" s="34">
        <v>139.89678881840999</v>
      </c>
      <c r="G25" s="34">
        <v>139.33808639460301</v>
      </c>
      <c r="H25" s="35">
        <v>139.78991462650001</v>
      </c>
      <c r="I25" s="35">
        <v>139.413443805263</v>
      </c>
      <c r="J25" s="34">
        <v>135.269817558819</v>
      </c>
      <c r="K25" s="34">
        <v>138.42913460693899</v>
      </c>
      <c r="L25" s="34">
        <v>140.27879514886399</v>
      </c>
      <c r="M25" s="68">
        <v>140.27970490426</v>
      </c>
      <c r="N25" s="21"/>
      <c r="O25" s="21"/>
      <c r="P25" s="21"/>
      <c r="Q25" s="52" t="str">
        <f t="shared" si="0"/>
        <v/>
      </c>
    </row>
    <row r="26" spans="1:17" x14ac:dyDescent="0.3">
      <c r="A26" s="40" t="s">
        <v>12</v>
      </c>
      <c r="B26" s="57" t="s">
        <v>376</v>
      </c>
      <c r="C26" s="46">
        <v>3.3221720652902937</v>
      </c>
      <c r="D26" s="22">
        <v>130.40968672981944</v>
      </c>
      <c r="E26" s="34">
        <v>131.16144385418599</v>
      </c>
      <c r="F26" s="34">
        <v>132.04448952798401</v>
      </c>
      <c r="G26" s="34">
        <v>134.28821397607899</v>
      </c>
      <c r="H26" s="35">
        <v>131.918837127995</v>
      </c>
      <c r="I26" s="35">
        <v>134.97894729439099</v>
      </c>
      <c r="J26" s="34">
        <v>133.93259827542499</v>
      </c>
      <c r="K26" s="34">
        <v>133.380530317672</v>
      </c>
      <c r="L26" s="34">
        <v>134.71760537071501</v>
      </c>
      <c r="M26" s="68">
        <v>130.31107092330001</v>
      </c>
      <c r="N26" s="21"/>
      <c r="O26" s="21"/>
      <c r="P26" s="21"/>
      <c r="Q26" s="52" t="str">
        <f t="shared" si="0"/>
        <v/>
      </c>
    </row>
    <row r="27" spans="1:17" x14ac:dyDescent="0.3">
      <c r="A27" s="40"/>
      <c r="B27" s="57"/>
      <c r="C27" s="46" t="s">
        <v>716</v>
      </c>
      <c r="D27" s="22" t="s">
        <v>716</v>
      </c>
      <c r="E27" s="34"/>
      <c r="F27" s="34"/>
      <c r="G27" s="34"/>
      <c r="H27" s="35"/>
      <c r="I27" s="35"/>
      <c r="J27" s="34"/>
      <c r="K27" s="34"/>
      <c r="L27" s="34"/>
      <c r="M27" s="68"/>
      <c r="N27" s="21"/>
      <c r="O27" s="21"/>
      <c r="P27" s="21"/>
      <c r="Q27" s="52" t="str">
        <f t="shared" si="0"/>
        <v/>
      </c>
    </row>
    <row r="28" spans="1:17" x14ac:dyDescent="0.3">
      <c r="A28" s="40" t="s">
        <v>13</v>
      </c>
      <c r="B28" s="57" t="s">
        <v>377</v>
      </c>
      <c r="C28" s="46">
        <v>49.422778806817263</v>
      </c>
      <c r="D28" s="22">
        <v>149.97303887808576</v>
      </c>
      <c r="E28" s="34">
        <v>150.34710889233</v>
      </c>
      <c r="F28" s="34">
        <v>151.069895812645</v>
      </c>
      <c r="G28" s="34">
        <v>151.37162411941</v>
      </c>
      <c r="H28" s="35">
        <v>152.54805676509901</v>
      </c>
      <c r="I28" s="35">
        <v>152.71620003658001</v>
      </c>
      <c r="J28" s="34">
        <v>151.85615695907799</v>
      </c>
      <c r="K28" s="34">
        <v>151.68791409254399</v>
      </c>
      <c r="L28" s="34">
        <v>152.368229577748</v>
      </c>
      <c r="M28" s="68">
        <v>153.18455817179299</v>
      </c>
      <c r="N28" s="21"/>
      <c r="O28" s="21"/>
      <c r="P28" s="21"/>
      <c r="Q28" s="52" t="str">
        <f t="shared" si="0"/>
        <v/>
      </c>
    </row>
    <row r="29" spans="1:17" x14ac:dyDescent="0.3">
      <c r="A29" s="40"/>
      <c r="B29" s="57"/>
      <c r="C29" s="46" t="s">
        <v>716</v>
      </c>
      <c r="D29" s="22" t="s">
        <v>716</v>
      </c>
      <c r="E29" s="34"/>
      <c r="F29" s="34"/>
      <c r="G29" s="34"/>
      <c r="H29" s="35"/>
      <c r="I29" s="35"/>
      <c r="J29" s="34"/>
      <c r="K29" s="34"/>
      <c r="L29" s="34"/>
      <c r="M29" s="68"/>
      <c r="N29" s="21"/>
      <c r="O29" s="21"/>
      <c r="P29" s="21"/>
      <c r="Q29" s="52" t="str">
        <f t="shared" si="0"/>
        <v/>
      </c>
    </row>
    <row r="30" spans="1:17" x14ac:dyDescent="0.3">
      <c r="A30" s="40" t="s">
        <v>14</v>
      </c>
      <c r="B30" s="57" t="s">
        <v>378</v>
      </c>
      <c r="C30" s="46">
        <v>10.404161348277292</v>
      </c>
      <c r="D30" s="22">
        <v>129.07579935665663</v>
      </c>
      <c r="E30" s="34">
        <v>134.87085334400501</v>
      </c>
      <c r="F30" s="34">
        <v>135.910533051561</v>
      </c>
      <c r="G30" s="34">
        <v>131.401276277401</v>
      </c>
      <c r="H30" s="35">
        <v>129.56751219480199</v>
      </c>
      <c r="I30" s="35">
        <v>126.064844219571</v>
      </c>
      <c r="J30" s="34">
        <v>129.62549885969801</v>
      </c>
      <c r="K30" s="34">
        <v>130.63287896571899</v>
      </c>
      <c r="L30" s="34">
        <v>134.55656862660601</v>
      </c>
      <c r="M30" s="68">
        <v>130.150838403248</v>
      </c>
      <c r="N30" s="21"/>
      <c r="O30" s="21"/>
      <c r="P30" s="21"/>
      <c r="Q30" s="52" t="str">
        <f t="shared" si="0"/>
        <v/>
      </c>
    </row>
    <row r="31" spans="1:17" x14ac:dyDescent="0.3">
      <c r="A31" s="40" t="s">
        <v>160</v>
      </c>
      <c r="B31" s="57" t="s">
        <v>379</v>
      </c>
      <c r="C31" s="46">
        <v>1.7693438698146542</v>
      </c>
      <c r="D31" s="22">
        <v>125.33901175876549</v>
      </c>
      <c r="E31" s="34">
        <v>126.157205853679</v>
      </c>
      <c r="F31" s="34">
        <v>128.71551582729899</v>
      </c>
      <c r="G31" s="34">
        <v>129.435233813092</v>
      </c>
      <c r="H31" s="35">
        <v>129.57618820709499</v>
      </c>
      <c r="I31" s="35">
        <v>131.856945514979</v>
      </c>
      <c r="J31" s="34">
        <v>132.22324748113601</v>
      </c>
      <c r="K31" s="34">
        <v>130.907084869275</v>
      </c>
      <c r="L31" s="34">
        <v>130.02034309382901</v>
      </c>
      <c r="M31" s="68">
        <v>133.27542215206799</v>
      </c>
      <c r="N31" s="21"/>
      <c r="O31" s="21"/>
      <c r="P31" s="21"/>
      <c r="Q31" s="52" t="str">
        <f t="shared" si="0"/>
        <v/>
      </c>
    </row>
    <row r="32" spans="1:17" x14ac:dyDescent="0.3">
      <c r="A32" s="40" t="s">
        <v>161</v>
      </c>
      <c r="B32" s="57" t="s">
        <v>380</v>
      </c>
      <c r="C32" s="46">
        <v>0.22784796021467049</v>
      </c>
      <c r="D32" s="22">
        <v>113.95507777400067</v>
      </c>
      <c r="E32" s="34">
        <v>117.983900338201</v>
      </c>
      <c r="F32" s="34">
        <v>117.63134382647399</v>
      </c>
      <c r="G32" s="34">
        <v>115.056411585188</v>
      </c>
      <c r="H32" s="35">
        <v>115.841284570418</v>
      </c>
      <c r="I32" s="35">
        <v>114.972027059044</v>
      </c>
      <c r="J32" s="34">
        <v>113.167882805391</v>
      </c>
      <c r="K32" s="34">
        <v>111.847818794869</v>
      </c>
      <c r="L32" s="34">
        <v>118.458313723267</v>
      </c>
      <c r="M32" s="68">
        <v>116.687159837621</v>
      </c>
      <c r="N32" s="21"/>
      <c r="O32" s="21"/>
      <c r="P32" s="21"/>
      <c r="Q32" s="52" t="str">
        <f t="shared" si="0"/>
        <v/>
      </c>
    </row>
    <row r="33" spans="1:17" x14ac:dyDescent="0.3">
      <c r="A33" s="40" t="s">
        <v>162</v>
      </c>
      <c r="B33" s="57" t="s">
        <v>381</v>
      </c>
      <c r="C33" s="46">
        <v>2.5822061023649474</v>
      </c>
      <c r="D33" s="22">
        <v>119.8252216094351</v>
      </c>
      <c r="E33" s="34">
        <v>122.179468960354</v>
      </c>
      <c r="F33" s="34">
        <v>120.30253648646899</v>
      </c>
      <c r="G33" s="34">
        <v>118.372478415933</v>
      </c>
      <c r="H33" s="35">
        <v>119.66059627472001</v>
      </c>
      <c r="I33" s="35">
        <v>120.158416187912</v>
      </c>
      <c r="J33" s="34">
        <v>119.904290731982</v>
      </c>
      <c r="K33" s="34">
        <v>119.13304045930499</v>
      </c>
      <c r="L33" s="34">
        <v>117.418394293346</v>
      </c>
      <c r="M33" s="68">
        <v>120.26835077483101</v>
      </c>
      <c r="N33" s="21"/>
      <c r="O33" s="21"/>
      <c r="P33" s="21"/>
      <c r="Q33" s="52" t="str">
        <f t="shared" si="0"/>
        <v/>
      </c>
    </row>
    <row r="34" spans="1:17" x14ac:dyDescent="0.3">
      <c r="A34" s="40"/>
      <c r="B34" s="57"/>
      <c r="C34" s="46" t="s">
        <v>716</v>
      </c>
      <c r="D34" s="22" t="s">
        <v>716</v>
      </c>
      <c r="E34" s="34"/>
      <c r="F34" s="34"/>
      <c r="G34" s="34"/>
      <c r="H34" s="35"/>
      <c r="I34" s="35"/>
      <c r="J34" s="34"/>
      <c r="K34" s="34"/>
      <c r="L34" s="34"/>
      <c r="M34" s="68"/>
      <c r="N34" s="21"/>
      <c r="O34" s="21"/>
      <c r="P34" s="21"/>
      <c r="Q34" s="52" t="str">
        <f t="shared" si="0"/>
        <v/>
      </c>
    </row>
    <row r="35" spans="1:17" x14ac:dyDescent="0.3">
      <c r="A35" s="40" t="s">
        <v>15</v>
      </c>
      <c r="B35" s="57" t="s">
        <v>382</v>
      </c>
      <c r="C35" s="46">
        <v>14.983559280671566</v>
      </c>
      <c r="D35" s="22">
        <v>126.38213070389351</v>
      </c>
      <c r="E35" s="34">
        <v>130.915367444693</v>
      </c>
      <c r="F35" s="34">
        <v>131.5797310929</v>
      </c>
      <c r="G35" s="34">
        <v>128.205423241256</v>
      </c>
      <c r="H35" s="35">
        <v>127.222838167099</v>
      </c>
      <c r="I35" s="35">
        <v>125.18883378506401</v>
      </c>
      <c r="J35" s="34">
        <v>127.57665237186799</v>
      </c>
      <c r="K35" s="34">
        <v>127.94238762439301</v>
      </c>
      <c r="L35" s="34">
        <v>130.304266965485</v>
      </c>
      <c r="M35" s="68">
        <v>128.18462744651299</v>
      </c>
      <c r="N35" s="21"/>
      <c r="O35" s="21"/>
      <c r="P35" s="21"/>
      <c r="Q35" s="52" t="str">
        <f t="shared" si="0"/>
        <v/>
      </c>
    </row>
    <row r="36" spans="1:17" x14ac:dyDescent="0.3">
      <c r="A36" s="40"/>
      <c r="B36" s="57"/>
      <c r="C36" s="46" t="s">
        <v>716</v>
      </c>
      <c r="D36" s="22" t="s">
        <v>716</v>
      </c>
      <c r="E36" s="34"/>
      <c r="F36" s="34"/>
      <c r="G36" s="34"/>
      <c r="H36" s="35"/>
      <c r="I36" s="35"/>
      <c r="J36" s="34"/>
      <c r="K36" s="34"/>
      <c r="L36" s="34"/>
      <c r="M36" s="68"/>
      <c r="N36" s="21"/>
      <c r="O36" s="21"/>
      <c r="P36" s="21"/>
      <c r="Q36" s="52" t="str">
        <f t="shared" si="0"/>
        <v/>
      </c>
    </row>
    <row r="37" spans="1:17" x14ac:dyDescent="0.3">
      <c r="A37" s="40" t="s">
        <v>16</v>
      </c>
      <c r="B37" s="57" t="s">
        <v>383</v>
      </c>
      <c r="C37" s="46">
        <v>4.6814098779960771</v>
      </c>
      <c r="D37" s="22">
        <v>129.70211645709389</v>
      </c>
      <c r="E37" s="34">
        <v>127.621918173277</v>
      </c>
      <c r="F37" s="34">
        <v>129.31733339019601</v>
      </c>
      <c r="G37" s="34">
        <v>128.02121796566601</v>
      </c>
      <c r="H37" s="35">
        <v>127.11060951224999</v>
      </c>
      <c r="I37" s="35">
        <v>125.849276776165</v>
      </c>
      <c r="J37" s="34">
        <v>125.688419071363</v>
      </c>
      <c r="K37" s="34">
        <v>124.349936809303</v>
      </c>
      <c r="L37" s="34">
        <v>126.82280073788</v>
      </c>
      <c r="M37" s="68">
        <v>123.83606314704301</v>
      </c>
      <c r="N37" s="21"/>
      <c r="O37" s="21"/>
      <c r="P37" s="21"/>
      <c r="Q37" s="52" t="str">
        <f t="shared" si="0"/>
        <v/>
      </c>
    </row>
    <row r="38" spans="1:17" x14ac:dyDescent="0.3">
      <c r="A38" s="40" t="s">
        <v>17</v>
      </c>
      <c r="B38" s="57" t="s">
        <v>384</v>
      </c>
      <c r="C38" s="46">
        <v>2.6289718823947092</v>
      </c>
      <c r="D38" s="22">
        <v>132.11334686652009</v>
      </c>
      <c r="E38" s="34">
        <v>130.110513619936</v>
      </c>
      <c r="F38" s="34">
        <v>131.62633156637</v>
      </c>
      <c r="G38" s="34">
        <v>130.92275915189401</v>
      </c>
      <c r="H38" s="35">
        <v>128.76678172794101</v>
      </c>
      <c r="I38" s="35">
        <v>127.53125362925201</v>
      </c>
      <c r="J38" s="34">
        <v>128.74417089587701</v>
      </c>
      <c r="K38" s="34">
        <v>127.060153013942</v>
      </c>
      <c r="L38" s="34">
        <v>129.055668447421</v>
      </c>
      <c r="M38" s="68">
        <v>126.787066957969</v>
      </c>
      <c r="N38" s="21"/>
      <c r="O38" s="21"/>
      <c r="P38" s="21"/>
      <c r="Q38" s="52" t="str">
        <f t="shared" si="0"/>
        <v/>
      </c>
    </row>
    <row r="39" spans="1:17" x14ac:dyDescent="0.3">
      <c r="A39" s="40" t="s">
        <v>18</v>
      </c>
      <c r="B39" s="57" t="s">
        <v>385</v>
      </c>
      <c r="C39" s="46">
        <v>1.245824100316107</v>
      </c>
      <c r="D39" s="22">
        <v>130.94059158860458</v>
      </c>
      <c r="E39" s="34">
        <v>133.80339307974199</v>
      </c>
      <c r="F39" s="34">
        <v>133.76546854649001</v>
      </c>
      <c r="G39" s="34">
        <v>131.88950242542001</v>
      </c>
      <c r="H39" s="35">
        <v>132.625468041673</v>
      </c>
      <c r="I39" s="35">
        <v>133.01232170569099</v>
      </c>
      <c r="J39" s="34">
        <v>132.30981010121801</v>
      </c>
      <c r="K39" s="34">
        <v>129.10158084039</v>
      </c>
      <c r="L39" s="34">
        <v>134.85070579231299</v>
      </c>
      <c r="M39" s="68">
        <v>133.291485301687</v>
      </c>
      <c r="N39" s="21"/>
      <c r="O39" s="21"/>
      <c r="P39" s="21"/>
      <c r="Q39" s="52" t="str">
        <f t="shared" si="0"/>
        <v/>
      </c>
    </row>
    <row r="40" spans="1:17" x14ac:dyDescent="0.3">
      <c r="A40" s="40" t="s">
        <v>19</v>
      </c>
      <c r="B40" s="57" t="s">
        <v>386</v>
      </c>
      <c r="C40" s="46">
        <v>0.24987223565314354</v>
      </c>
      <c r="D40" s="22">
        <v>100</v>
      </c>
      <c r="E40" s="34">
        <v>98.124244274082798</v>
      </c>
      <c r="F40" s="34">
        <v>97.422888122084998</v>
      </c>
      <c r="G40" s="34">
        <v>92.241232165557093</v>
      </c>
      <c r="H40" s="35">
        <v>98.696360934013896</v>
      </c>
      <c r="I40" s="35">
        <v>96.233218263835596</v>
      </c>
      <c r="J40" s="34">
        <v>98.980245311203404</v>
      </c>
      <c r="K40" s="34">
        <v>102.108380107492</v>
      </c>
      <c r="L40" s="34">
        <v>96.186244651606103</v>
      </c>
      <c r="M40" s="68">
        <v>102.358303851987</v>
      </c>
      <c r="N40" s="21"/>
      <c r="O40" s="21"/>
      <c r="P40" s="21"/>
      <c r="Q40" s="52" t="str">
        <f t="shared" si="0"/>
        <v/>
      </c>
    </row>
    <row r="41" spans="1:17" x14ac:dyDescent="0.3">
      <c r="A41" s="40" t="s">
        <v>20</v>
      </c>
      <c r="B41" s="57" t="s">
        <v>387</v>
      </c>
      <c r="C41" s="46">
        <v>14.96481926825903</v>
      </c>
      <c r="D41" s="22">
        <v>142.0595136317865</v>
      </c>
      <c r="E41" s="34">
        <v>144.25083319256899</v>
      </c>
      <c r="F41" s="34">
        <v>143.49863196385701</v>
      </c>
      <c r="G41" s="34">
        <v>143.63775484582899</v>
      </c>
      <c r="H41" s="35">
        <v>142.29464966215599</v>
      </c>
      <c r="I41" s="35">
        <v>143.68846258942</v>
      </c>
      <c r="J41" s="34">
        <v>142.06409591101999</v>
      </c>
      <c r="K41" s="34">
        <v>143.468000100209</v>
      </c>
      <c r="L41" s="34">
        <v>143.56887236572601</v>
      </c>
      <c r="M41" s="68">
        <v>143.60443408883501</v>
      </c>
      <c r="N41" s="21"/>
      <c r="O41" s="21"/>
      <c r="P41" s="21"/>
      <c r="Q41" s="52" t="str">
        <f t="shared" si="0"/>
        <v/>
      </c>
    </row>
    <row r="42" spans="1:17" x14ac:dyDescent="0.3">
      <c r="A42" s="40" t="s">
        <v>21</v>
      </c>
      <c r="B42" s="57" t="s">
        <v>388</v>
      </c>
      <c r="C42" s="46">
        <v>4.9891525247375448</v>
      </c>
      <c r="D42" s="22">
        <v>126.56638045561162</v>
      </c>
      <c r="E42" s="34">
        <v>123.623636216672</v>
      </c>
      <c r="F42" s="34">
        <v>122.709351257297</v>
      </c>
      <c r="G42" s="34">
        <v>127.038377275996</v>
      </c>
      <c r="H42" s="35">
        <v>124.73345289156499</v>
      </c>
      <c r="I42" s="35">
        <v>122.945745955577</v>
      </c>
      <c r="J42" s="34">
        <v>128.74949452413301</v>
      </c>
      <c r="K42" s="34">
        <v>125.067553959734</v>
      </c>
      <c r="L42" s="34">
        <v>128.992436780388</v>
      </c>
      <c r="M42" s="68">
        <v>123.595509916208</v>
      </c>
      <c r="N42" s="21"/>
      <c r="O42" s="21"/>
      <c r="P42" s="21"/>
      <c r="Q42" s="52" t="str">
        <f t="shared" si="0"/>
        <v/>
      </c>
    </row>
    <row r="43" spans="1:17" x14ac:dyDescent="0.3">
      <c r="A43" s="40" t="s">
        <v>22</v>
      </c>
      <c r="B43" s="57" t="s">
        <v>389</v>
      </c>
      <c r="C43" s="46">
        <v>0.91693431048440277</v>
      </c>
      <c r="D43" s="22">
        <v>119.28090090541126</v>
      </c>
      <c r="E43" s="34">
        <v>116.991115431485</v>
      </c>
      <c r="F43" s="34">
        <v>116.593757975985</v>
      </c>
      <c r="G43" s="34">
        <v>116.280065548105</v>
      </c>
      <c r="H43" s="35">
        <v>119.95319668025</v>
      </c>
      <c r="I43" s="35">
        <v>121.97128076735</v>
      </c>
      <c r="J43" s="34">
        <v>119.21486523173699</v>
      </c>
      <c r="K43" s="34">
        <v>119.72269315885799</v>
      </c>
      <c r="L43" s="34">
        <v>120.12617513996901</v>
      </c>
      <c r="M43" s="68">
        <v>116.351057480069</v>
      </c>
      <c r="N43" s="21"/>
      <c r="O43" s="21"/>
      <c r="P43" s="21"/>
      <c r="Q43" s="52" t="str">
        <f t="shared" si="0"/>
        <v/>
      </c>
    </row>
    <row r="44" spans="1:17" x14ac:dyDescent="0.3">
      <c r="A44" s="40" t="s">
        <v>239</v>
      </c>
      <c r="B44" s="57" t="s">
        <v>390</v>
      </c>
      <c r="C44" s="46">
        <v>3.579790652645678</v>
      </c>
      <c r="D44" s="22">
        <v>137.97221383991712</v>
      </c>
      <c r="E44" s="34">
        <v>141.58696970978201</v>
      </c>
      <c r="F44" s="34">
        <v>143.24685214774999</v>
      </c>
      <c r="G44" s="34">
        <v>142.396019089552</v>
      </c>
      <c r="H44" s="35">
        <v>141.63528849865401</v>
      </c>
      <c r="I44" s="35">
        <v>140.100656330318</v>
      </c>
      <c r="J44" s="34">
        <v>140.836627752688</v>
      </c>
      <c r="K44" s="34">
        <v>145.76981795880499</v>
      </c>
      <c r="L44" s="34">
        <v>141.18365211202601</v>
      </c>
      <c r="M44" s="68">
        <v>143.32109447301099</v>
      </c>
      <c r="N44" s="21"/>
      <c r="O44" s="21"/>
      <c r="P44" s="21"/>
      <c r="Q44" s="52" t="str">
        <f t="shared" si="0"/>
        <v/>
      </c>
    </row>
    <row r="45" spans="1:17" x14ac:dyDescent="0.3">
      <c r="A45" s="40"/>
      <c r="B45" s="57"/>
      <c r="C45" s="46" t="s">
        <v>716</v>
      </c>
      <c r="D45" s="22" t="s">
        <v>716</v>
      </c>
      <c r="E45" s="34"/>
      <c r="F45" s="34"/>
      <c r="G45" s="34"/>
      <c r="H45" s="35"/>
      <c r="I45" s="35"/>
      <c r="J45" s="34"/>
      <c r="K45" s="34"/>
      <c r="L45" s="34"/>
      <c r="M45" s="68"/>
      <c r="N45" s="21"/>
      <c r="O45" s="21"/>
      <c r="P45" s="21"/>
      <c r="Q45" s="52" t="str">
        <f t="shared" si="0"/>
        <v/>
      </c>
    </row>
    <row r="46" spans="1:17" x14ac:dyDescent="0.3">
      <c r="A46" s="40" t="s">
        <v>23</v>
      </c>
      <c r="B46" s="57" t="s">
        <v>391</v>
      </c>
      <c r="C46" s="46">
        <v>33.256774852486693</v>
      </c>
      <c r="D46" s="22">
        <v>135.54833353568338</v>
      </c>
      <c r="E46" s="34">
        <v>135.95035742501301</v>
      </c>
      <c r="F46" s="34">
        <v>136.007327556756</v>
      </c>
      <c r="G46" s="34">
        <v>136.28952549103499</v>
      </c>
      <c r="H46" s="35">
        <v>135.162632388124</v>
      </c>
      <c r="I46" s="35">
        <v>135.078943053758</v>
      </c>
      <c r="J46" s="34">
        <v>135.380888293975</v>
      </c>
      <c r="K46" s="34">
        <v>135.503651824787</v>
      </c>
      <c r="L46" s="34">
        <v>136.39347472194299</v>
      </c>
      <c r="M46" s="68">
        <v>135.028413314386</v>
      </c>
      <c r="N46" s="21"/>
      <c r="O46" s="21"/>
      <c r="P46" s="21"/>
      <c r="Q46" s="52" t="str">
        <f t="shared" si="0"/>
        <v/>
      </c>
    </row>
    <row r="47" spans="1:17" x14ac:dyDescent="0.3">
      <c r="A47" s="40"/>
      <c r="B47" s="57"/>
      <c r="C47" s="46" t="s">
        <v>716</v>
      </c>
      <c r="D47" s="22" t="s">
        <v>716</v>
      </c>
      <c r="E47" s="34"/>
      <c r="F47" s="34"/>
      <c r="G47" s="34"/>
      <c r="H47" s="35"/>
      <c r="I47" s="35"/>
      <c r="J47" s="34"/>
      <c r="K47" s="34"/>
      <c r="L47" s="34"/>
      <c r="M47" s="68"/>
      <c r="N47" s="21"/>
      <c r="O47" s="21"/>
      <c r="P47" s="21"/>
      <c r="Q47" s="52" t="str">
        <f t="shared" si="0"/>
        <v/>
      </c>
    </row>
    <row r="48" spans="1:17" x14ac:dyDescent="0.3">
      <c r="A48" s="40" t="s">
        <v>240</v>
      </c>
      <c r="B48" s="57" t="s">
        <v>392</v>
      </c>
      <c r="C48" s="46">
        <v>5.4351281281364443</v>
      </c>
      <c r="D48" s="22">
        <v>146.05420419893301</v>
      </c>
      <c r="E48" s="34">
        <v>147.90555945268801</v>
      </c>
      <c r="F48" s="34">
        <v>144.19104360597501</v>
      </c>
      <c r="G48" s="34">
        <v>142.28012488766399</v>
      </c>
      <c r="H48" s="35">
        <v>140.562324492172</v>
      </c>
      <c r="I48" s="35">
        <v>139.191867478879</v>
      </c>
      <c r="J48" s="34">
        <v>139.47609378131</v>
      </c>
      <c r="K48" s="34">
        <v>137.057731940688</v>
      </c>
      <c r="L48" s="34">
        <v>134.638687177365</v>
      </c>
      <c r="M48" s="68">
        <v>130.641015803317</v>
      </c>
      <c r="N48" s="21"/>
      <c r="O48" s="21"/>
      <c r="P48" s="21"/>
      <c r="Q48" s="52" t="str">
        <f t="shared" si="0"/>
        <v/>
      </c>
    </row>
    <row r="49" spans="1:17" x14ac:dyDescent="0.3">
      <c r="A49" s="40" t="s">
        <v>241</v>
      </c>
      <c r="B49" s="57" t="s">
        <v>393</v>
      </c>
      <c r="C49" s="46">
        <v>1.2082413698850512</v>
      </c>
      <c r="D49" s="22">
        <v>128.22464345106795</v>
      </c>
      <c r="E49" s="34">
        <v>132.116133802425</v>
      </c>
      <c r="F49" s="34">
        <v>132.05087671299901</v>
      </c>
      <c r="G49" s="34">
        <v>128.531545355536</v>
      </c>
      <c r="H49" s="35">
        <v>129.70108335870901</v>
      </c>
      <c r="I49" s="35">
        <v>131.31825826979599</v>
      </c>
      <c r="J49" s="34">
        <v>134.310556197121</v>
      </c>
      <c r="K49" s="34">
        <v>141.14402394201699</v>
      </c>
      <c r="L49" s="34">
        <v>142.11768100655399</v>
      </c>
      <c r="M49" s="68">
        <v>136.37570942894899</v>
      </c>
      <c r="N49" s="21"/>
      <c r="O49" s="21"/>
      <c r="P49" s="21"/>
      <c r="Q49" s="52" t="str">
        <f t="shared" si="0"/>
        <v/>
      </c>
    </row>
    <row r="50" spans="1:17" x14ac:dyDescent="0.3">
      <c r="A50" s="40"/>
      <c r="B50" s="57"/>
      <c r="C50" s="46" t="s">
        <v>716</v>
      </c>
      <c r="D50" s="22" t="s">
        <v>716</v>
      </c>
      <c r="E50" s="34"/>
      <c r="F50" s="34"/>
      <c r="G50" s="34"/>
      <c r="H50" s="35"/>
      <c r="I50" s="35"/>
      <c r="J50" s="34"/>
      <c r="K50" s="34"/>
      <c r="L50" s="34"/>
      <c r="M50" s="68"/>
      <c r="N50" s="21"/>
      <c r="O50" s="21"/>
      <c r="P50" s="21"/>
      <c r="Q50" s="52" t="str">
        <f t="shared" si="0"/>
        <v/>
      </c>
    </row>
    <row r="51" spans="1:17" x14ac:dyDescent="0.3">
      <c r="A51" s="40" t="s">
        <v>24</v>
      </c>
      <c r="B51" s="57" t="s">
        <v>394</v>
      </c>
      <c r="C51" s="46">
        <v>6.6433694980214959</v>
      </c>
      <c r="D51" s="22">
        <v>138.05075382364413</v>
      </c>
      <c r="E51" s="34">
        <v>140.244389243623</v>
      </c>
      <c r="F51" s="34">
        <v>137.359188862178</v>
      </c>
      <c r="G51" s="34">
        <v>135.192365285938</v>
      </c>
      <c r="H51" s="35">
        <v>134.09300211644899</v>
      </c>
      <c r="I51" s="35">
        <v>133.34988972234299</v>
      </c>
      <c r="J51" s="34">
        <v>134.15559972001199</v>
      </c>
      <c r="K51" s="34">
        <v>133.623543001087</v>
      </c>
      <c r="L51" s="34">
        <v>131.94355470512201</v>
      </c>
      <c r="M51" s="68">
        <v>127.727839519376</v>
      </c>
      <c r="N51" s="21"/>
      <c r="O51" s="21"/>
      <c r="P51" s="21"/>
      <c r="Q51" s="52" t="str">
        <f t="shared" si="0"/>
        <v/>
      </c>
    </row>
    <row r="52" spans="1:17" x14ac:dyDescent="0.3">
      <c r="A52" s="40"/>
      <c r="B52" s="57"/>
      <c r="C52" s="46" t="s">
        <v>716</v>
      </c>
      <c r="D52" s="22" t="s">
        <v>716</v>
      </c>
      <c r="E52" s="34"/>
      <c r="F52" s="34"/>
      <c r="G52" s="34"/>
      <c r="H52" s="35"/>
      <c r="I52" s="35"/>
      <c r="J52" s="34"/>
      <c r="K52" s="34"/>
      <c r="L52" s="34"/>
      <c r="M52" s="68"/>
      <c r="N52" s="21"/>
      <c r="O52" s="21"/>
      <c r="P52" s="21"/>
      <c r="Q52" s="52" t="str">
        <f t="shared" si="0"/>
        <v/>
      </c>
    </row>
    <row r="53" spans="1:17" x14ac:dyDescent="0.3">
      <c r="A53" s="40" t="s">
        <v>25</v>
      </c>
      <c r="B53" s="57" t="s">
        <v>395</v>
      </c>
      <c r="C53" s="46">
        <v>0.65616592200171875</v>
      </c>
      <c r="D53" s="22">
        <v>125.62906857799233</v>
      </c>
      <c r="E53" s="34">
        <v>131.573983908766</v>
      </c>
      <c r="F53" s="34">
        <v>128.934436046126</v>
      </c>
      <c r="G53" s="34">
        <v>129.288312563978</v>
      </c>
      <c r="H53" s="35">
        <v>126.03364323997801</v>
      </c>
      <c r="I53" s="35">
        <v>127.846861725702</v>
      </c>
      <c r="J53" s="34">
        <v>130.19776152321501</v>
      </c>
      <c r="K53" s="34">
        <v>128.24100785772399</v>
      </c>
      <c r="L53" s="34">
        <v>126.289968879149</v>
      </c>
      <c r="M53" s="68">
        <v>129.51449874892799</v>
      </c>
      <c r="N53" s="21"/>
      <c r="O53" s="21"/>
      <c r="P53" s="21"/>
      <c r="Q53" s="52" t="str">
        <f t="shared" si="0"/>
        <v/>
      </c>
    </row>
    <row r="54" spans="1:17" x14ac:dyDescent="0.3">
      <c r="A54" s="40" t="s">
        <v>26</v>
      </c>
      <c r="B54" s="57" t="s">
        <v>396</v>
      </c>
      <c r="C54" s="46">
        <v>1.1491146831243393</v>
      </c>
      <c r="D54" s="22">
        <v>127.16342903742256</v>
      </c>
      <c r="E54" s="34">
        <v>131.57593597895001</v>
      </c>
      <c r="F54" s="34">
        <v>134.23774040237399</v>
      </c>
      <c r="G54" s="34">
        <v>136.10954484508201</v>
      </c>
      <c r="H54" s="35">
        <v>134.15616708493499</v>
      </c>
      <c r="I54" s="35">
        <v>137.54634752477099</v>
      </c>
      <c r="J54" s="34">
        <v>135.30163621527799</v>
      </c>
      <c r="K54" s="34">
        <v>137.791391575505</v>
      </c>
      <c r="L54" s="34">
        <v>137.166594563909</v>
      </c>
      <c r="M54" s="68">
        <v>133.975110406607</v>
      </c>
      <c r="N54" s="21"/>
      <c r="O54" s="21"/>
      <c r="P54" s="21"/>
      <c r="Q54" s="52" t="str">
        <f t="shared" si="0"/>
        <v/>
      </c>
    </row>
    <row r="55" spans="1:17" x14ac:dyDescent="0.3">
      <c r="A55" s="40"/>
      <c r="B55" s="57"/>
      <c r="C55" s="46" t="s">
        <v>716</v>
      </c>
      <c r="D55" s="22" t="s">
        <v>716</v>
      </c>
      <c r="E55" s="34"/>
      <c r="F55" s="34"/>
      <c r="G55" s="34"/>
      <c r="H55" s="35"/>
      <c r="I55" s="35"/>
      <c r="J55" s="34"/>
      <c r="K55" s="34"/>
      <c r="L55" s="34"/>
      <c r="M55" s="68"/>
      <c r="N55" s="21"/>
      <c r="O55" s="21"/>
      <c r="P55" s="21"/>
      <c r="Q55" s="52" t="str">
        <f t="shared" si="0"/>
        <v/>
      </c>
    </row>
    <row r="56" spans="1:17" x14ac:dyDescent="0.3">
      <c r="A56" s="40" t="s">
        <v>27</v>
      </c>
      <c r="B56" s="57" t="s">
        <v>397</v>
      </c>
      <c r="C56" s="46">
        <v>8.4486501031475534</v>
      </c>
      <c r="D56" s="22">
        <v>137.59791415131127</v>
      </c>
      <c r="E56" s="34">
        <v>140.47226153586101</v>
      </c>
      <c r="F56" s="34">
        <v>138.37821529589399</v>
      </c>
      <c r="G56" s="34">
        <v>136.98556043621099</v>
      </c>
      <c r="H56" s="35">
        <v>135.559601843438</v>
      </c>
      <c r="I56" s="35">
        <v>135.630372670372</v>
      </c>
      <c r="J56" s="34">
        <v>136.131461897652</v>
      </c>
      <c r="K56" s="34">
        <v>135.91443823103401</v>
      </c>
      <c r="L56" s="34">
        <v>134.33984094915201</v>
      </c>
      <c r="M56" s="68">
        <v>130.84039526541</v>
      </c>
      <c r="N56" s="21"/>
      <c r="O56" s="21"/>
      <c r="P56" s="21"/>
      <c r="Q56" s="52" t="str">
        <f t="shared" si="0"/>
        <v/>
      </c>
    </row>
    <row r="57" spans="1:17" x14ac:dyDescent="0.3">
      <c r="A57" s="40"/>
      <c r="B57" s="57"/>
      <c r="C57" s="46" t="s">
        <v>716</v>
      </c>
      <c r="D57" s="22" t="s">
        <v>716</v>
      </c>
      <c r="E57" s="34"/>
      <c r="F57" s="34"/>
      <c r="G57" s="34"/>
      <c r="H57" s="35"/>
      <c r="I57" s="35"/>
      <c r="J57" s="34"/>
      <c r="K57" s="34"/>
      <c r="L57" s="34"/>
      <c r="M57" s="68"/>
      <c r="N57" s="21"/>
      <c r="O57" s="21"/>
      <c r="P57" s="21"/>
      <c r="Q57" s="52" t="str">
        <f t="shared" si="0"/>
        <v/>
      </c>
    </row>
    <row r="58" spans="1:17" x14ac:dyDescent="0.3">
      <c r="A58" s="40" t="s">
        <v>28</v>
      </c>
      <c r="B58" s="57" t="s">
        <v>398</v>
      </c>
      <c r="C58" s="46">
        <v>15.667308519917448</v>
      </c>
      <c r="D58" s="22">
        <v>123.85907912300041</v>
      </c>
      <c r="E58" s="34">
        <v>124.046383331172</v>
      </c>
      <c r="F58" s="34">
        <v>126.741650364176</v>
      </c>
      <c r="G58" s="34">
        <v>129.51205650826901</v>
      </c>
      <c r="H58" s="35">
        <v>130.39702656900201</v>
      </c>
      <c r="I58" s="35">
        <v>127.345634164714</v>
      </c>
      <c r="J58" s="34">
        <v>141.004566680533</v>
      </c>
      <c r="K58" s="34">
        <v>122.49913835445901</v>
      </c>
      <c r="L58" s="34">
        <v>118.81322847353</v>
      </c>
      <c r="M58" s="68">
        <v>117.009912845908</v>
      </c>
      <c r="N58" s="21"/>
      <c r="O58" s="21"/>
      <c r="P58" s="21"/>
      <c r="Q58" s="52" t="str">
        <f t="shared" si="0"/>
        <v/>
      </c>
    </row>
    <row r="59" spans="1:17" x14ac:dyDescent="0.3">
      <c r="A59" s="40" t="s">
        <v>29</v>
      </c>
      <c r="B59" s="57" t="s">
        <v>399</v>
      </c>
      <c r="C59" s="46">
        <v>27.606512114655377</v>
      </c>
      <c r="D59" s="22">
        <v>130.326175532902</v>
      </c>
      <c r="E59" s="34">
        <v>141.057325932319</v>
      </c>
      <c r="F59" s="34">
        <v>145.406902763338</v>
      </c>
      <c r="G59" s="34">
        <v>148.65099575071901</v>
      </c>
      <c r="H59" s="35">
        <v>146.128901514495</v>
      </c>
      <c r="I59" s="35">
        <v>139.32483176909</v>
      </c>
      <c r="J59" s="34">
        <v>130.41939387060299</v>
      </c>
      <c r="K59" s="34">
        <v>128.16306735779401</v>
      </c>
      <c r="L59" s="34">
        <v>127.77208359452</v>
      </c>
      <c r="M59" s="68">
        <v>130.91593509106099</v>
      </c>
      <c r="N59" s="21"/>
      <c r="O59" s="21"/>
      <c r="P59" s="21"/>
      <c r="Q59" s="52" t="str">
        <f t="shared" si="0"/>
        <v/>
      </c>
    </row>
    <row r="60" spans="1:17" x14ac:dyDescent="0.3">
      <c r="A60" s="40"/>
      <c r="B60" s="57"/>
      <c r="C60" s="46" t="s">
        <v>716</v>
      </c>
      <c r="D60" s="22" t="s">
        <v>716</v>
      </c>
      <c r="E60" s="34"/>
      <c r="F60" s="34"/>
      <c r="G60" s="34"/>
      <c r="H60" s="35"/>
      <c r="I60" s="35"/>
      <c r="J60" s="34"/>
      <c r="K60" s="34"/>
      <c r="L60" s="34"/>
      <c r="M60" s="68"/>
      <c r="N60" s="21"/>
      <c r="O60" s="21"/>
      <c r="P60" s="21"/>
      <c r="Q60" s="52" t="str">
        <f t="shared" si="0"/>
        <v/>
      </c>
    </row>
    <row r="61" spans="1:17" x14ac:dyDescent="0.3">
      <c r="A61" s="40" t="s">
        <v>30</v>
      </c>
      <c r="B61" s="57" t="s">
        <v>400</v>
      </c>
      <c r="C61" s="46">
        <v>0.44084058423335842</v>
      </c>
      <c r="D61" s="22">
        <v>112.93029318256374</v>
      </c>
      <c r="E61" s="34">
        <v>113.45427559952201</v>
      </c>
      <c r="F61" s="34">
        <v>113.55209698833301</v>
      </c>
      <c r="G61" s="34">
        <v>111.56551933780401</v>
      </c>
      <c r="H61" s="35">
        <v>110.984360520975</v>
      </c>
      <c r="I61" s="35">
        <v>109.824656194453</v>
      </c>
      <c r="J61" s="34">
        <v>107.86938803639499</v>
      </c>
      <c r="K61" s="34">
        <v>106.66746473900599</v>
      </c>
      <c r="L61" s="34">
        <v>106.733564579565</v>
      </c>
      <c r="M61" s="68">
        <v>109.69393007534801</v>
      </c>
      <c r="N61" s="21"/>
      <c r="O61" s="21"/>
      <c r="P61" s="21"/>
      <c r="Q61" s="52" t="str">
        <f t="shared" si="0"/>
        <v/>
      </c>
    </row>
    <row r="62" spans="1:17" x14ac:dyDescent="0.3">
      <c r="A62" s="40" t="s">
        <v>31</v>
      </c>
      <c r="B62" s="57" t="s">
        <v>401</v>
      </c>
      <c r="C62" s="46">
        <v>5.7082766411532752E-2</v>
      </c>
      <c r="D62" s="22">
        <v>102.88153031483385</v>
      </c>
      <c r="E62" s="34">
        <v>105.30686861695099</v>
      </c>
      <c r="F62" s="34">
        <v>101.21962310232399</v>
      </c>
      <c r="G62" s="34">
        <v>103.125578879033</v>
      </c>
      <c r="H62" s="35">
        <v>104.396975966133</v>
      </c>
      <c r="I62" s="35">
        <v>101.50578894090999</v>
      </c>
      <c r="J62" s="34">
        <v>104.74466719330501</v>
      </c>
      <c r="K62" s="34">
        <v>103.60294070264</v>
      </c>
      <c r="L62" s="34">
        <v>104.304617109879</v>
      </c>
      <c r="M62" s="68">
        <v>104.696177308812</v>
      </c>
      <c r="N62" s="21"/>
      <c r="O62" s="21"/>
      <c r="P62" s="21"/>
      <c r="Q62" s="52" t="str">
        <f t="shared" si="0"/>
        <v/>
      </c>
    </row>
    <row r="63" spans="1:17" x14ac:dyDescent="0.3">
      <c r="A63" s="40" t="s">
        <v>32</v>
      </c>
      <c r="B63" s="57" t="s">
        <v>402</v>
      </c>
      <c r="C63" s="46">
        <v>3.1662236820725633</v>
      </c>
      <c r="D63" s="22">
        <v>117.52792734947576</v>
      </c>
      <c r="E63" s="34">
        <v>118.62465115213899</v>
      </c>
      <c r="F63" s="34">
        <v>119.242935667113</v>
      </c>
      <c r="G63" s="34">
        <v>119.544076621882</v>
      </c>
      <c r="H63" s="35">
        <v>116.921422410226</v>
      </c>
      <c r="I63" s="35">
        <v>118.116603196059</v>
      </c>
      <c r="J63" s="34">
        <v>119.085864706176</v>
      </c>
      <c r="K63" s="34">
        <v>118.040645470103</v>
      </c>
      <c r="L63" s="34">
        <v>119.162065262567</v>
      </c>
      <c r="M63" s="68">
        <v>118.632760614151</v>
      </c>
      <c r="N63" s="21"/>
      <c r="O63" s="21"/>
      <c r="P63" s="21"/>
      <c r="Q63" s="52" t="str">
        <f t="shared" si="0"/>
        <v/>
      </c>
    </row>
    <row r="64" spans="1:17" x14ac:dyDescent="0.3">
      <c r="A64" s="40" t="s">
        <v>33</v>
      </c>
      <c r="B64" s="57" t="s">
        <v>403</v>
      </c>
      <c r="C64" s="46">
        <v>0.26123006454646819</v>
      </c>
      <c r="D64" s="22">
        <v>100</v>
      </c>
      <c r="E64" s="34">
        <v>107.750839372351</v>
      </c>
      <c r="F64" s="34">
        <v>96.408543574976406</v>
      </c>
      <c r="G64" s="34">
        <v>98.693021421870995</v>
      </c>
      <c r="H64" s="35">
        <v>104.38491965157699</v>
      </c>
      <c r="I64" s="35">
        <v>103.169720924695</v>
      </c>
      <c r="J64" s="34">
        <v>104.31858690717</v>
      </c>
      <c r="K64" s="34">
        <v>100.016551015834</v>
      </c>
      <c r="L64" s="34">
        <v>111.20509530917499</v>
      </c>
      <c r="M64" s="68">
        <v>96.963254697471697</v>
      </c>
      <c r="N64" s="21"/>
      <c r="O64" s="21"/>
      <c r="P64" s="21"/>
      <c r="Q64" s="52" t="str">
        <f t="shared" si="0"/>
        <v/>
      </c>
    </row>
    <row r="65" spans="1:17" x14ac:dyDescent="0.3">
      <c r="A65" s="40" t="s">
        <v>34</v>
      </c>
      <c r="B65" s="57" t="s">
        <v>404</v>
      </c>
      <c r="C65" s="46">
        <v>2.3294246343072538</v>
      </c>
      <c r="D65" s="22">
        <v>157.15971916997808</v>
      </c>
      <c r="E65" s="34">
        <v>166.858061274215</v>
      </c>
      <c r="F65" s="34">
        <v>162.132295418154</v>
      </c>
      <c r="G65" s="34">
        <v>156.85976827072699</v>
      </c>
      <c r="H65" s="35">
        <v>157.94006040539699</v>
      </c>
      <c r="I65" s="35">
        <v>159.17937018205799</v>
      </c>
      <c r="J65" s="34">
        <v>158.57528210026001</v>
      </c>
      <c r="K65" s="34">
        <v>162.57441820258501</v>
      </c>
      <c r="L65" s="34">
        <v>167.34067025148201</v>
      </c>
      <c r="M65" s="68">
        <v>155.63999356648401</v>
      </c>
      <c r="N65" s="21"/>
      <c r="O65" s="21"/>
      <c r="P65" s="21"/>
      <c r="Q65" s="52" t="str">
        <f t="shared" si="0"/>
        <v/>
      </c>
    </row>
    <row r="66" spans="1:17" x14ac:dyDescent="0.3">
      <c r="A66" s="40" t="s">
        <v>35</v>
      </c>
      <c r="B66" s="57" t="s">
        <v>405</v>
      </c>
      <c r="C66" s="46">
        <v>1.8124990909979606</v>
      </c>
      <c r="D66" s="22">
        <v>117.62892097870962</v>
      </c>
      <c r="E66" s="34">
        <v>121.857312184143</v>
      </c>
      <c r="F66" s="34">
        <v>121.434750865786</v>
      </c>
      <c r="G66" s="34">
        <v>121.90648964044399</v>
      </c>
      <c r="H66" s="35">
        <v>120.98802028538999</v>
      </c>
      <c r="I66" s="35">
        <v>121.670025795988</v>
      </c>
      <c r="J66" s="34">
        <v>118.960364043653</v>
      </c>
      <c r="K66" s="34">
        <v>112.832958363904</v>
      </c>
      <c r="L66" s="34">
        <v>108.017446663266</v>
      </c>
      <c r="M66" s="68">
        <v>115.767486852006</v>
      </c>
      <c r="N66" s="21"/>
      <c r="O66" s="21"/>
      <c r="P66" s="21"/>
      <c r="Q66" s="52" t="str">
        <f t="shared" si="0"/>
        <v/>
      </c>
    </row>
    <row r="67" spans="1:17" x14ac:dyDescent="0.3">
      <c r="A67" s="40" t="s">
        <v>242</v>
      </c>
      <c r="B67" s="57" t="s">
        <v>406</v>
      </c>
      <c r="C67" s="46">
        <v>2.9101686282207271</v>
      </c>
      <c r="D67" s="22">
        <v>127.2676141957072</v>
      </c>
      <c r="E67" s="34">
        <v>127.720538371459</v>
      </c>
      <c r="F67" s="34">
        <v>126.729140689232</v>
      </c>
      <c r="G67" s="34">
        <v>127.429044553655</v>
      </c>
      <c r="H67" s="35">
        <v>127.52909496852899</v>
      </c>
      <c r="I67" s="35">
        <v>128.64180864040199</v>
      </c>
      <c r="J67" s="34">
        <v>128.561083446026</v>
      </c>
      <c r="K67" s="34">
        <v>128.17713095102499</v>
      </c>
      <c r="L67" s="34">
        <v>128.45883372932701</v>
      </c>
      <c r="M67" s="68">
        <v>129.19223856611501</v>
      </c>
      <c r="N67" s="21"/>
      <c r="O67" s="21"/>
      <c r="P67" s="21"/>
      <c r="Q67" s="52" t="str">
        <f t="shared" si="0"/>
        <v/>
      </c>
    </row>
    <row r="68" spans="1:17" x14ac:dyDescent="0.3">
      <c r="A68" s="40"/>
      <c r="B68" s="57"/>
      <c r="C68" s="46" t="s">
        <v>716</v>
      </c>
      <c r="D68" s="22" t="s">
        <v>716</v>
      </c>
      <c r="E68" s="34"/>
      <c r="F68" s="34"/>
      <c r="G68" s="34"/>
      <c r="H68" s="35"/>
      <c r="I68" s="35"/>
      <c r="J68" s="34"/>
      <c r="K68" s="34"/>
      <c r="L68" s="34"/>
      <c r="M68" s="68"/>
      <c r="N68" s="21"/>
      <c r="O68" s="21"/>
      <c r="P68" s="21"/>
      <c r="Q68" s="52" t="str">
        <f t="shared" si="0"/>
        <v/>
      </c>
    </row>
    <row r="69" spans="1:17" x14ac:dyDescent="0.3">
      <c r="A69" s="40" t="s">
        <v>36</v>
      </c>
      <c r="B69" s="57" t="s">
        <v>407</v>
      </c>
      <c r="C69" s="46">
        <v>10.977469450789863</v>
      </c>
      <c r="D69" s="22">
        <v>128.35440343862052</v>
      </c>
      <c r="E69" s="34">
        <v>131.539964295998</v>
      </c>
      <c r="F69" s="34">
        <v>130.206021816516</v>
      </c>
      <c r="G69" s="34">
        <v>129.65070649684199</v>
      </c>
      <c r="H69" s="35">
        <v>129.02864658200099</v>
      </c>
      <c r="I69" s="35">
        <v>129.931478735897</v>
      </c>
      <c r="J69" s="34">
        <v>129.589189034676</v>
      </c>
      <c r="K69" s="34">
        <v>128.55274895508299</v>
      </c>
      <c r="L69" s="34">
        <v>129.289064068557</v>
      </c>
      <c r="M69" s="68">
        <v>128.389558988408</v>
      </c>
      <c r="N69" s="21"/>
      <c r="O69" s="21"/>
      <c r="P69" s="21"/>
      <c r="Q69" s="52" t="str">
        <f t="shared" si="0"/>
        <v/>
      </c>
    </row>
    <row r="70" spans="1:17" x14ac:dyDescent="0.3">
      <c r="A70" s="40"/>
      <c r="B70" s="57"/>
      <c r="C70" s="46" t="s">
        <v>716</v>
      </c>
      <c r="D70" s="22" t="s">
        <v>716</v>
      </c>
      <c r="E70" s="34"/>
      <c r="F70" s="34"/>
      <c r="G70" s="34"/>
      <c r="H70" s="35"/>
      <c r="I70" s="35"/>
      <c r="J70" s="34"/>
      <c r="K70" s="34"/>
      <c r="L70" s="34"/>
      <c r="M70" s="68"/>
      <c r="N70" s="21"/>
      <c r="O70" s="21"/>
      <c r="P70" s="21"/>
      <c r="Q70" s="52" t="str">
        <f t="shared" si="0"/>
        <v/>
      </c>
    </row>
    <row r="71" spans="1:17" x14ac:dyDescent="0.3">
      <c r="A71" s="40" t="s">
        <v>37</v>
      </c>
      <c r="B71" s="57" t="s">
        <v>408</v>
      </c>
      <c r="C71" s="46">
        <v>3.5512563045887369</v>
      </c>
      <c r="D71" s="22">
        <v>118.44708046137548</v>
      </c>
      <c r="E71" s="34">
        <v>121.63596414656899</v>
      </c>
      <c r="F71" s="34">
        <v>121.639764690969</v>
      </c>
      <c r="G71" s="34">
        <v>123.605021191787</v>
      </c>
      <c r="H71" s="35">
        <v>118.83135702748299</v>
      </c>
      <c r="I71" s="35">
        <v>121.874299523099</v>
      </c>
      <c r="J71" s="34">
        <v>121.576281308606</v>
      </c>
      <c r="K71" s="34">
        <v>121.434244588244</v>
      </c>
      <c r="L71" s="34">
        <v>120.49816093565001</v>
      </c>
      <c r="M71" s="68">
        <v>119.995078830499</v>
      </c>
      <c r="N71" s="21"/>
      <c r="O71" s="21"/>
      <c r="P71" s="21"/>
      <c r="Q71" s="52" t="str">
        <f t="shared" si="0"/>
        <v/>
      </c>
    </row>
    <row r="72" spans="1:17" x14ac:dyDescent="0.3">
      <c r="A72" s="40" t="s">
        <v>38</v>
      </c>
      <c r="B72" s="57" t="s">
        <v>409</v>
      </c>
      <c r="C72" s="46">
        <v>0.85157661080197788</v>
      </c>
      <c r="D72" s="22">
        <v>127.8359764869231</v>
      </c>
      <c r="E72" s="34">
        <v>127.259517835898</v>
      </c>
      <c r="F72" s="34">
        <v>126.388553626635</v>
      </c>
      <c r="G72" s="34">
        <v>130.05871305072799</v>
      </c>
      <c r="H72" s="35">
        <v>128.27070659343499</v>
      </c>
      <c r="I72" s="35">
        <v>129.91547303780399</v>
      </c>
      <c r="J72" s="34">
        <v>125.85766874978501</v>
      </c>
      <c r="K72" s="34">
        <v>126.934022952655</v>
      </c>
      <c r="L72" s="34">
        <v>129.67198857351599</v>
      </c>
      <c r="M72" s="68">
        <v>126.687146822307</v>
      </c>
      <c r="N72" s="21"/>
      <c r="O72" s="21"/>
      <c r="P72" s="21"/>
      <c r="Q72" s="52" t="str">
        <f t="shared" ref="Q72:Q135" si="1">IF(P72="","",AVERAGE(E72:P72))</f>
        <v/>
      </c>
    </row>
    <row r="73" spans="1:17" x14ac:dyDescent="0.3">
      <c r="A73" s="40" t="s">
        <v>39</v>
      </c>
      <c r="B73" s="57" t="s">
        <v>410</v>
      </c>
      <c r="C73" s="46">
        <v>2.2800631443637029</v>
      </c>
      <c r="D73" s="22">
        <v>116.98861961134402</v>
      </c>
      <c r="E73" s="34">
        <v>119.817018794256</v>
      </c>
      <c r="F73" s="34">
        <v>114.875662995084</v>
      </c>
      <c r="G73" s="34">
        <v>118.31603366903499</v>
      </c>
      <c r="H73" s="35">
        <v>118.09638124871201</v>
      </c>
      <c r="I73" s="35">
        <v>117.366556473473</v>
      </c>
      <c r="J73" s="34">
        <v>120.88156478053</v>
      </c>
      <c r="K73" s="34">
        <v>118.043862522038</v>
      </c>
      <c r="L73" s="34">
        <v>119.45935422825799</v>
      </c>
      <c r="M73" s="68">
        <v>119.038738795082</v>
      </c>
      <c r="N73" s="21"/>
      <c r="O73" s="21"/>
      <c r="P73" s="21"/>
      <c r="Q73" s="52" t="str">
        <f t="shared" si="1"/>
        <v/>
      </c>
    </row>
    <row r="74" spans="1:17" x14ac:dyDescent="0.3">
      <c r="A74" s="40" t="s">
        <v>40</v>
      </c>
      <c r="B74" s="57" t="s">
        <v>411</v>
      </c>
      <c r="C74" s="46">
        <v>0.50784825301682057</v>
      </c>
      <c r="D74" s="22">
        <v>112.24865478638225</v>
      </c>
      <c r="E74" s="34">
        <v>113.414372625913</v>
      </c>
      <c r="F74" s="34">
        <v>113.43736481802701</v>
      </c>
      <c r="G74" s="34">
        <v>113.527926048707</v>
      </c>
      <c r="H74" s="35">
        <v>112.321118117233</v>
      </c>
      <c r="I74" s="35">
        <v>112.125672294206</v>
      </c>
      <c r="J74" s="34">
        <v>112.297420890151</v>
      </c>
      <c r="K74" s="34">
        <v>113.43444744881</v>
      </c>
      <c r="L74" s="34">
        <v>113.48747134806401</v>
      </c>
      <c r="M74" s="68">
        <v>114.869574884106</v>
      </c>
      <c r="N74" s="21"/>
      <c r="O74" s="21"/>
      <c r="P74" s="21"/>
      <c r="Q74" s="52" t="str">
        <f t="shared" si="1"/>
        <v/>
      </c>
    </row>
    <row r="75" spans="1:17" x14ac:dyDescent="0.3">
      <c r="A75" s="40" t="s">
        <v>163</v>
      </c>
      <c r="B75" s="57" t="s">
        <v>412</v>
      </c>
      <c r="C75" s="46">
        <v>0.38616618237303996</v>
      </c>
      <c r="D75" s="22">
        <v>100</v>
      </c>
      <c r="E75" s="34">
        <v>102.717632647077</v>
      </c>
      <c r="F75" s="34">
        <v>105.018439238014</v>
      </c>
      <c r="G75" s="34">
        <v>101.90392447149</v>
      </c>
      <c r="H75" s="35">
        <v>97.696590047436104</v>
      </c>
      <c r="I75" s="35">
        <v>105.202800602149</v>
      </c>
      <c r="J75" s="34">
        <v>106.92634005697199</v>
      </c>
      <c r="K75" s="34">
        <v>106.751693657997</v>
      </c>
      <c r="L75" s="34">
        <v>107.756896358502</v>
      </c>
      <c r="M75" s="68">
        <v>107.67882971695801</v>
      </c>
      <c r="N75" s="21"/>
      <c r="O75" s="21"/>
      <c r="P75" s="21"/>
      <c r="Q75" s="52" t="str">
        <f t="shared" si="1"/>
        <v/>
      </c>
    </row>
    <row r="76" spans="1:17" x14ac:dyDescent="0.3">
      <c r="A76" s="40"/>
      <c r="B76" s="57"/>
      <c r="C76" s="46" t="s">
        <v>716</v>
      </c>
      <c r="D76" s="22" t="s">
        <v>716</v>
      </c>
      <c r="E76" s="34"/>
      <c r="F76" s="34"/>
      <c r="G76" s="34"/>
      <c r="H76" s="35"/>
      <c r="I76" s="35"/>
      <c r="J76" s="34"/>
      <c r="K76" s="34"/>
      <c r="L76" s="34"/>
      <c r="M76" s="68"/>
      <c r="N76" s="21"/>
      <c r="O76" s="21"/>
      <c r="P76" s="21"/>
      <c r="Q76" s="52" t="str">
        <f t="shared" si="1"/>
        <v/>
      </c>
    </row>
    <row r="77" spans="1:17" x14ac:dyDescent="0.3">
      <c r="A77" s="40" t="s">
        <v>41</v>
      </c>
      <c r="B77" s="57" t="s">
        <v>413</v>
      </c>
      <c r="C77" s="46">
        <v>7.5769104951442783</v>
      </c>
      <c r="D77" s="22">
        <v>118.4345986267279</v>
      </c>
      <c r="E77" s="34">
        <v>120.97715798330699</v>
      </c>
      <c r="F77" s="34">
        <v>119.523411633815</v>
      </c>
      <c r="G77" s="34">
        <v>121.69306522581699</v>
      </c>
      <c r="H77" s="35">
        <v>118.86351218619301</v>
      </c>
      <c r="I77" s="35">
        <v>120.677764170136</v>
      </c>
      <c r="J77" s="34">
        <v>121.302579033912</v>
      </c>
      <c r="K77" s="34">
        <v>120.55347503527101</v>
      </c>
      <c r="L77" s="34">
        <v>120.89551962221</v>
      </c>
      <c r="M77" s="68">
        <v>120.31384689445299</v>
      </c>
      <c r="N77" s="21"/>
      <c r="O77" s="21"/>
      <c r="P77" s="21"/>
      <c r="Q77" s="52" t="str">
        <f t="shared" si="1"/>
        <v/>
      </c>
    </row>
    <row r="78" spans="1:17" x14ac:dyDescent="0.3">
      <c r="A78" s="40"/>
      <c r="B78" s="57"/>
      <c r="C78" s="46" t="s">
        <v>716</v>
      </c>
      <c r="D78" s="22" t="s">
        <v>716</v>
      </c>
      <c r="E78" s="34"/>
      <c r="F78" s="34"/>
      <c r="G78" s="34"/>
      <c r="H78" s="35"/>
      <c r="I78" s="35"/>
      <c r="J78" s="34"/>
      <c r="K78" s="34"/>
      <c r="L78" s="34"/>
      <c r="M78" s="68"/>
      <c r="N78" s="21"/>
      <c r="O78" s="21"/>
      <c r="P78" s="21"/>
      <c r="Q78" s="52" t="str">
        <f t="shared" si="1"/>
        <v/>
      </c>
    </row>
    <row r="79" spans="1:17" x14ac:dyDescent="0.3">
      <c r="A79" s="40" t="s">
        <v>42</v>
      </c>
      <c r="B79" s="57" t="s">
        <v>414</v>
      </c>
      <c r="C79" s="46">
        <v>197.07867190481869</v>
      </c>
      <c r="D79" s="22">
        <v>134.69335630604107</v>
      </c>
      <c r="E79" s="34">
        <v>137.38260226923501</v>
      </c>
      <c r="F79" s="34">
        <v>138.28127859899001</v>
      </c>
      <c r="G79" s="34">
        <v>138.66501533237101</v>
      </c>
      <c r="H79" s="35">
        <v>138.151417932708</v>
      </c>
      <c r="I79" s="35">
        <v>137.027101536695</v>
      </c>
      <c r="J79" s="34">
        <v>137.070260137627</v>
      </c>
      <c r="K79" s="34">
        <v>135.01210045116699</v>
      </c>
      <c r="L79" s="34">
        <v>135.11675783358299</v>
      </c>
      <c r="M79" s="68">
        <v>134.73262189079901</v>
      </c>
      <c r="N79" s="21"/>
      <c r="O79" s="21"/>
      <c r="P79" s="21"/>
      <c r="Q79" s="52" t="str">
        <f t="shared" si="1"/>
        <v/>
      </c>
    </row>
    <row r="80" spans="1:17" x14ac:dyDescent="0.3">
      <c r="A80" s="40"/>
      <c r="B80" s="57"/>
      <c r="C80" s="46" t="s">
        <v>716</v>
      </c>
      <c r="D80" s="22" t="s">
        <v>716</v>
      </c>
      <c r="E80" s="34"/>
      <c r="F80" s="34"/>
      <c r="G80" s="34"/>
      <c r="H80" s="35"/>
      <c r="I80" s="35"/>
      <c r="J80" s="34"/>
      <c r="K80" s="34"/>
      <c r="L80" s="34"/>
      <c r="M80" s="68"/>
      <c r="N80" s="21"/>
      <c r="O80" s="21"/>
      <c r="P80" s="21"/>
      <c r="Q80" s="52" t="str">
        <f t="shared" si="1"/>
        <v/>
      </c>
    </row>
    <row r="81" spans="1:17" x14ac:dyDescent="0.3">
      <c r="A81" s="40" t="s">
        <v>43</v>
      </c>
      <c r="B81" s="57" t="s">
        <v>415</v>
      </c>
      <c r="C81" s="46">
        <v>2.1675410163792876</v>
      </c>
      <c r="D81" s="22">
        <v>144.56705401481969</v>
      </c>
      <c r="E81" s="34">
        <v>143.970201394985</v>
      </c>
      <c r="F81" s="34">
        <v>146.12228098915301</v>
      </c>
      <c r="G81" s="34">
        <v>143.044582010314</v>
      </c>
      <c r="H81" s="35">
        <v>140.65436161854399</v>
      </c>
      <c r="I81" s="35">
        <v>141.043969523778</v>
      </c>
      <c r="J81" s="34">
        <v>144.776407320076</v>
      </c>
      <c r="K81" s="34">
        <v>140.050382343385</v>
      </c>
      <c r="L81" s="34">
        <v>138.30620899545099</v>
      </c>
      <c r="M81" s="68">
        <v>134.24806311777201</v>
      </c>
      <c r="N81" s="21"/>
      <c r="O81" s="21"/>
      <c r="P81" s="21"/>
      <c r="Q81" s="52" t="str">
        <f t="shared" si="1"/>
        <v/>
      </c>
    </row>
    <row r="82" spans="1:17" x14ac:dyDescent="0.3">
      <c r="A82" s="40" t="s">
        <v>44</v>
      </c>
      <c r="B82" s="57" t="s">
        <v>416</v>
      </c>
      <c r="C82" s="46">
        <v>5.6083439995716606</v>
      </c>
      <c r="D82" s="22">
        <v>147.68608875155121</v>
      </c>
      <c r="E82" s="34">
        <v>145.05827469457299</v>
      </c>
      <c r="F82" s="34">
        <v>147.034655136917</v>
      </c>
      <c r="G82" s="34">
        <v>146.211137417033</v>
      </c>
      <c r="H82" s="35">
        <v>146.59958800933001</v>
      </c>
      <c r="I82" s="35">
        <v>144.608241316179</v>
      </c>
      <c r="J82" s="34">
        <v>142.985649248372</v>
      </c>
      <c r="K82" s="34">
        <v>143.82626507086101</v>
      </c>
      <c r="L82" s="34">
        <v>144.55037880351901</v>
      </c>
      <c r="M82" s="68">
        <v>143.160448965585</v>
      </c>
      <c r="N82" s="21"/>
      <c r="O82" s="21"/>
      <c r="P82" s="21"/>
      <c r="Q82" s="52" t="str">
        <f t="shared" si="1"/>
        <v/>
      </c>
    </row>
    <row r="83" spans="1:17" x14ac:dyDescent="0.3">
      <c r="A83" s="40" t="s">
        <v>243</v>
      </c>
      <c r="B83" s="57" t="s">
        <v>417</v>
      </c>
      <c r="C83" s="46">
        <v>0.56278655602029126</v>
      </c>
      <c r="D83" s="22">
        <v>127.5969694238872</v>
      </c>
      <c r="E83" s="34">
        <v>127.70444104436</v>
      </c>
      <c r="F83" s="34">
        <v>128.02078946829701</v>
      </c>
      <c r="G83" s="34">
        <v>128.955945508664</v>
      </c>
      <c r="H83" s="35">
        <v>128.596968585947</v>
      </c>
      <c r="I83" s="35">
        <v>131.04338640957599</v>
      </c>
      <c r="J83" s="34">
        <v>131.37079477984</v>
      </c>
      <c r="K83" s="34">
        <v>130.528874336439</v>
      </c>
      <c r="L83" s="34">
        <v>130.691878623609</v>
      </c>
      <c r="M83" s="68">
        <v>130.63313823718099</v>
      </c>
      <c r="N83" s="21"/>
      <c r="O83" s="21"/>
      <c r="P83" s="21"/>
      <c r="Q83" s="52" t="str">
        <f t="shared" si="1"/>
        <v/>
      </c>
    </row>
    <row r="84" spans="1:17" x14ac:dyDescent="0.3">
      <c r="A84" s="40" t="s">
        <v>244</v>
      </c>
      <c r="B84" s="57" t="s">
        <v>418</v>
      </c>
      <c r="C84" s="46">
        <v>0.26619592259750319</v>
      </c>
      <c r="D84" s="22">
        <v>156.42794664928212</v>
      </c>
      <c r="E84" s="34">
        <v>158.03526757866001</v>
      </c>
      <c r="F84" s="34">
        <v>157.78559900235999</v>
      </c>
      <c r="G84" s="34">
        <v>155.50458114896799</v>
      </c>
      <c r="H84" s="35">
        <v>161.14095071512</v>
      </c>
      <c r="I84" s="35">
        <v>156.09449774767799</v>
      </c>
      <c r="J84" s="34">
        <v>153.55496230283401</v>
      </c>
      <c r="K84" s="34">
        <v>159.87084194917301</v>
      </c>
      <c r="L84" s="34">
        <v>158.594605240466</v>
      </c>
      <c r="M84" s="68">
        <v>144.23719939998099</v>
      </c>
      <c r="N84" s="21"/>
      <c r="O84" s="21"/>
      <c r="P84" s="21"/>
      <c r="Q84" s="52" t="str">
        <f t="shared" si="1"/>
        <v/>
      </c>
    </row>
    <row r="85" spans="1:17" x14ac:dyDescent="0.3">
      <c r="A85" s="40" t="s">
        <v>245</v>
      </c>
      <c r="B85" s="57" t="s">
        <v>419</v>
      </c>
      <c r="C85" s="46">
        <v>1.0379750306218958</v>
      </c>
      <c r="D85" s="22">
        <v>106.28381685980671</v>
      </c>
      <c r="E85" s="34">
        <v>107.74229999327</v>
      </c>
      <c r="F85" s="34">
        <v>106.739372714504</v>
      </c>
      <c r="G85" s="34">
        <v>107.59384735859101</v>
      </c>
      <c r="H85" s="35">
        <v>107.283263518374</v>
      </c>
      <c r="I85" s="35">
        <v>104.855597700045</v>
      </c>
      <c r="J85" s="34">
        <v>105.71966912679299</v>
      </c>
      <c r="K85" s="34">
        <v>107.62650959520499</v>
      </c>
      <c r="L85" s="34">
        <v>108.402921825131</v>
      </c>
      <c r="M85" s="68">
        <v>106.656633141329</v>
      </c>
      <c r="N85" s="21"/>
      <c r="O85" s="21"/>
      <c r="P85" s="21"/>
      <c r="Q85" s="52" t="str">
        <f t="shared" si="1"/>
        <v/>
      </c>
    </row>
    <row r="86" spans="1:17" x14ac:dyDescent="0.3">
      <c r="A86" s="40" t="s">
        <v>246</v>
      </c>
      <c r="B86" s="57" t="s">
        <v>420</v>
      </c>
      <c r="C86" s="46">
        <v>2.6879003928790541</v>
      </c>
      <c r="D86" s="22">
        <v>127.4308258532875</v>
      </c>
      <c r="E86" s="34">
        <v>127.397373455961</v>
      </c>
      <c r="F86" s="34">
        <v>127.466644618765</v>
      </c>
      <c r="G86" s="34">
        <v>126.447207152781</v>
      </c>
      <c r="H86" s="35">
        <v>126.3578636316</v>
      </c>
      <c r="I86" s="35">
        <v>125.71670180829101</v>
      </c>
      <c r="J86" s="34">
        <v>127.462139409735</v>
      </c>
      <c r="K86" s="34">
        <v>126.650627260582</v>
      </c>
      <c r="L86" s="34">
        <v>128.173385711419</v>
      </c>
      <c r="M86" s="68">
        <v>127.179448042541</v>
      </c>
      <c r="N86" s="21"/>
      <c r="O86" s="21"/>
      <c r="P86" s="21"/>
      <c r="Q86" s="52" t="str">
        <f t="shared" si="1"/>
        <v/>
      </c>
    </row>
    <row r="87" spans="1:17" x14ac:dyDescent="0.3">
      <c r="A87" s="40"/>
      <c r="B87" s="57"/>
      <c r="C87" s="46" t="s">
        <v>716</v>
      </c>
      <c r="D87" s="22" t="s">
        <v>716</v>
      </c>
      <c r="E87" s="34"/>
      <c r="F87" s="34"/>
      <c r="G87" s="34"/>
      <c r="H87" s="35"/>
      <c r="I87" s="35"/>
      <c r="J87" s="34"/>
      <c r="K87" s="34"/>
      <c r="L87" s="34"/>
      <c r="M87" s="68"/>
      <c r="N87" s="21"/>
      <c r="O87" s="21"/>
      <c r="P87" s="21"/>
      <c r="Q87" s="52" t="str">
        <f t="shared" si="1"/>
        <v/>
      </c>
    </row>
    <row r="88" spans="1:17" x14ac:dyDescent="0.3">
      <c r="A88" s="40" t="s">
        <v>45</v>
      </c>
      <c r="B88" s="57" t="s">
        <v>421</v>
      </c>
      <c r="C88" s="46">
        <v>12.330742918069694</v>
      </c>
      <c r="D88" s="22">
        <v>137.58072470979718</v>
      </c>
      <c r="E88" s="34">
        <v>136.554318748974</v>
      </c>
      <c r="F88" s="34">
        <v>137.66958521774899</v>
      </c>
      <c r="G88" s="34">
        <v>136.661691644348</v>
      </c>
      <c r="H88" s="35">
        <v>136.46090542540401</v>
      </c>
      <c r="I88" s="35">
        <v>135.29148949435401</v>
      </c>
      <c r="J88" s="34">
        <v>135.70121382142199</v>
      </c>
      <c r="K88" s="34">
        <v>135.36205655979899</v>
      </c>
      <c r="L88" s="34">
        <v>135.80385389727601</v>
      </c>
      <c r="M88" s="68">
        <v>133.836353994745</v>
      </c>
      <c r="N88" s="21"/>
      <c r="O88" s="21"/>
      <c r="P88" s="21"/>
      <c r="Q88" s="52" t="str">
        <f t="shared" si="1"/>
        <v/>
      </c>
    </row>
    <row r="89" spans="1:17" x14ac:dyDescent="0.3">
      <c r="A89" s="40"/>
      <c r="B89" s="57"/>
      <c r="C89" s="46" t="s">
        <v>716</v>
      </c>
      <c r="D89" s="22" t="s">
        <v>716</v>
      </c>
      <c r="E89" s="34"/>
      <c r="F89" s="34"/>
      <c r="G89" s="34"/>
      <c r="H89" s="35"/>
      <c r="I89" s="35"/>
      <c r="J89" s="34"/>
      <c r="K89" s="34"/>
      <c r="L89" s="34"/>
      <c r="M89" s="68"/>
      <c r="N89" s="21"/>
      <c r="O89" s="21"/>
      <c r="P89" s="21"/>
      <c r="Q89" s="52" t="str">
        <f t="shared" si="1"/>
        <v/>
      </c>
    </row>
    <row r="90" spans="1:17" x14ac:dyDescent="0.3">
      <c r="A90" s="40" t="s">
        <v>46</v>
      </c>
      <c r="B90" s="57" t="s">
        <v>422</v>
      </c>
      <c r="C90" s="46">
        <v>209.40941482288838</v>
      </c>
      <c r="D90" s="22">
        <v>134.87948230238609</v>
      </c>
      <c r="E90" s="34">
        <v>137.35462191904901</v>
      </c>
      <c r="F90" s="34">
        <v>138.26593115929299</v>
      </c>
      <c r="G90" s="34">
        <v>138.56938821630001</v>
      </c>
      <c r="H90" s="35">
        <v>138.07377441615401</v>
      </c>
      <c r="I90" s="35">
        <v>136.946692225145</v>
      </c>
      <c r="J90" s="34">
        <v>137.01101791112299</v>
      </c>
      <c r="K90" s="34">
        <v>135.051794473369</v>
      </c>
      <c r="L90" s="34">
        <v>135.175929148872</v>
      </c>
      <c r="M90" s="68">
        <v>134.70033440177099</v>
      </c>
      <c r="N90" s="21"/>
      <c r="O90" s="21"/>
      <c r="P90" s="21"/>
      <c r="Q90" s="52" t="str">
        <f t="shared" si="1"/>
        <v/>
      </c>
    </row>
    <row r="91" spans="1:17" x14ac:dyDescent="0.3">
      <c r="A91" s="41"/>
      <c r="B91" s="57"/>
      <c r="C91" s="46" t="s">
        <v>716</v>
      </c>
      <c r="D91" s="22"/>
      <c r="E91" s="34"/>
      <c r="F91" s="34"/>
      <c r="G91" s="34"/>
      <c r="H91" s="35"/>
      <c r="I91" s="35"/>
      <c r="J91" s="34"/>
      <c r="K91" s="34"/>
      <c r="L91" s="34"/>
      <c r="M91" s="68"/>
      <c r="N91" s="21"/>
      <c r="O91" s="21"/>
      <c r="P91" s="21"/>
      <c r="Q91" s="52" t="str">
        <f t="shared" si="1"/>
        <v/>
      </c>
    </row>
    <row r="92" spans="1:17" x14ac:dyDescent="0.3">
      <c r="B92" s="58" t="s">
        <v>720</v>
      </c>
      <c r="C92" s="46" t="s">
        <v>716</v>
      </c>
      <c r="D92" s="22"/>
      <c r="E92" s="34"/>
      <c r="F92" s="34"/>
      <c r="G92" s="34"/>
      <c r="H92" s="35"/>
      <c r="I92" s="35"/>
      <c r="J92" s="34"/>
      <c r="K92" s="34"/>
      <c r="L92" s="34"/>
      <c r="M92" s="68"/>
      <c r="N92" s="21"/>
      <c r="O92" s="21"/>
      <c r="P92" s="21"/>
      <c r="Q92" s="52" t="str">
        <f t="shared" si="1"/>
        <v/>
      </c>
    </row>
    <row r="93" spans="1:17" x14ac:dyDescent="0.3">
      <c r="A93" s="41"/>
      <c r="B93" s="57"/>
      <c r="C93" s="46" t="s">
        <v>716</v>
      </c>
      <c r="D93" s="22"/>
      <c r="E93" s="34"/>
      <c r="F93" s="34"/>
      <c r="G93" s="34"/>
      <c r="H93" s="35"/>
      <c r="I93" s="35"/>
      <c r="J93" s="34"/>
      <c r="K93" s="34"/>
      <c r="L93" s="34"/>
      <c r="M93" s="68"/>
      <c r="N93" s="21"/>
      <c r="O93" s="21"/>
      <c r="P93" s="21"/>
      <c r="Q93" s="52" t="str">
        <f t="shared" si="1"/>
        <v/>
      </c>
    </row>
    <row r="94" spans="1:17" x14ac:dyDescent="0.3">
      <c r="A94" s="40" t="s">
        <v>47</v>
      </c>
      <c r="B94" s="59" t="s">
        <v>423</v>
      </c>
      <c r="C94" s="46">
        <v>7.0781553825187666</v>
      </c>
      <c r="D94" s="22">
        <v>106.8707670450564</v>
      </c>
      <c r="E94" s="34">
        <v>108.799305508893</v>
      </c>
      <c r="F94" s="34">
        <v>109.876770745569</v>
      </c>
      <c r="G94" s="34">
        <v>110.518693304398</v>
      </c>
      <c r="H94" s="35">
        <v>110.97887977808</v>
      </c>
      <c r="I94" s="35">
        <v>110.095565617595</v>
      </c>
      <c r="J94" s="34">
        <v>110.256002603026</v>
      </c>
      <c r="K94" s="34">
        <v>110.718580067665</v>
      </c>
      <c r="L94" s="34">
        <v>109.62416404173101</v>
      </c>
      <c r="M94" s="68">
        <v>111.38786561452</v>
      </c>
      <c r="N94" s="21"/>
      <c r="O94" s="21"/>
      <c r="P94" s="21"/>
      <c r="Q94" s="52" t="str">
        <f t="shared" si="1"/>
        <v/>
      </c>
    </row>
    <row r="95" spans="1:17" x14ac:dyDescent="0.3">
      <c r="A95" s="40"/>
      <c r="B95" s="59"/>
      <c r="C95" s="46" t="s">
        <v>716</v>
      </c>
      <c r="D95" s="22" t="s">
        <v>716</v>
      </c>
      <c r="E95" s="34"/>
      <c r="F95" s="34"/>
      <c r="G95" s="34"/>
      <c r="H95" s="35"/>
      <c r="I95" s="35"/>
      <c r="J95" s="34"/>
      <c r="K95" s="34"/>
      <c r="L95" s="34"/>
      <c r="M95" s="68"/>
      <c r="N95" s="21"/>
      <c r="O95" s="21"/>
      <c r="P95" s="21"/>
      <c r="Q95" s="52" t="str">
        <f t="shared" si="1"/>
        <v/>
      </c>
    </row>
    <row r="96" spans="1:17" x14ac:dyDescent="0.3">
      <c r="A96" s="40" t="s">
        <v>164</v>
      </c>
      <c r="B96" s="59" t="s">
        <v>424</v>
      </c>
      <c r="C96" s="46">
        <v>5.761362577283041</v>
      </c>
      <c r="D96" s="22">
        <v>116.32117085382015</v>
      </c>
      <c r="E96" s="34">
        <v>122.709872798161</v>
      </c>
      <c r="F96" s="34">
        <v>115.865456212815</v>
      </c>
      <c r="G96" s="34">
        <v>120.337003363626</v>
      </c>
      <c r="H96" s="35">
        <v>118.88907496463899</v>
      </c>
      <c r="I96" s="35">
        <v>119.586323249855</v>
      </c>
      <c r="J96" s="34">
        <v>122.59632528964799</v>
      </c>
      <c r="K96" s="34">
        <v>118.35388640545899</v>
      </c>
      <c r="L96" s="34">
        <v>113.475731046878</v>
      </c>
      <c r="M96" s="68">
        <v>117.36599235792001</v>
      </c>
      <c r="N96" s="21"/>
      <c r="O96" s="21"/>
      <c r="P96" s="21"/>
      <c r="Q96" s="52" t="str">
        <f t="shared" si="1"/>
        <v/>
      </c>
    </row>
    <row r="97" spans="1:17" x14ac:dyDescent="0.3">
      <c r="A97" s="40"/>
      <c r="B97" s="59"/>
      <c r="C97" s="46" t="s">
        <v>716</v>
      </c>
      <c r="D97" s="22" t="s">
        <v>716</v>
      </c>
      <c r="E97" s="34"/>
      <c r="F97" s="34"/>
      <c r="G97" s="34"/>
      <c r="H97" s="35"/>
      <c r="I97" s="35"/>
      <c r="J97" s="34"/>
      <c r="K97" s="34"/>
      <c r="L97" s="34"/>
      <c r="M97" s="68"/>
      <c r="N97" s="21"/>
      <c r="O97" s="21"/>
      <c r="P97" s="21"/>
      <c r="Q97" s="52" t="str">
        <f t="shared" si="1"/>
        <v/>
      </c>
    </row>
    <row r="98" spans="1:17" x14ac:dyDescent="0.3">
      <c r="A98" s="40" t="s">
        <v>48</v>
      </c>
      <c r="B98" s="59" t="s">
        <v>425</v>
      </c>
      <c r="C98" s="46">
        <v>5.761362577283041</v>
      </c>
      <c r="D98" s="22">
        <v>116.32117085382015</v>
      </c>
      <c r="E98" s="34">
        <v>122.709872798161</v>
      </c>
      <c r="F98" s="34">
        <v>115.865456212815</v>
      </c>
      <c r="G98" s="34">
        <v>120.337003363626</v>
      </c>
      <c r="H98" s="35">
        <v>118.88907496463899</v>
      </c>
      <c r="I98" s="35">
        <v>119.586323249855</v>
      </c>
      <c r="J98" s="34">
        <v>122.59632528964799</v>
      </c>
      <c r="K98" s="34">
        <v>118.35388640545899</v>
      </c>
      <c r="L98" s="34">
        <v>113.475731046878</v>
      </c>
      <c r="M98" s="68">
        <v>117.36599235792001</v>
      </c>
      <c r="N98" s="21"/>
      <c r="O98" s="21"/>
      <c r="P98" s="21"/>
      <c r="Q98" s="52" t="str">
        <f t="shared" si="1"/>
        <v/>
      </c>
    </row>
    <row r="99" spans="1:17" x14ac:dyDescent="0.3">
      <c r="A99" s="40"/>
      <c r="B99" s="59"/>
      <c r="C99" s="46" t="s">
        <v>716</v>
      </c>
      <c r="D99" s="22" t="s">
        <v>716</v>
      </c>
      <c r="E99" s="34"/>
      <c r="F99" s="34"/>
      <c r="G99" s="34"/>
      <c r="H99" s="35"/>
      <c r="I99" s="35"/>
      <c r="J99" s="34"/>
      <c r="K99" s="34"/>
      <c r="L99" s="34"/>
      <c r="M99" s="68"/>
      <c r="N99" s="21"/>
      <c r="O99" s="21"/>
      <c r="P99" s="21"/>
      <c r="Q99" s="52" t="str">
        <f t="shared" si="1"/>
        <v/>
      </c>
    </row>
    <row r="100" spans="1:17" x14ac:dyDescent="0.3">
      <c r="A100" s="40" t="s">
        <v>49</v>
      </c>
      <c r="B100" s="59" t="s">
        <v>426</v>
      </c>
      <c r="C100" s="46">
        <v>3.4636779995843994</v>
      </c>
      <c r="D100" s="22">
        <v>122.20791477902567</v>
      </c>
      <c r="E100" s="34">
        <v>123.73974626941499</v>
      </c>
      <c r="F100" s="34">
        <v>119.06553423572301</v>
      </c>
      <c r="G100" s="34">
        <v>115.45031367760799</v>
      </c>
      <c r="H100" s="35">
        <v>115.942757655565</v>
      </c>
      <c r="I100" s="35">
        <v>115.31133852927</v>
      </c>
      <c r="J100" s="34">
        <v>115.598066654417</v>
      </c>
      <c r="K100" s="34">
        <v>113.306579818819</v>
      </c>
      <c r="L100" s="34">
        <v>111.611227577417</v>
      </c>
      <c r="M100" s="68">
        <v>113.132933479917</v>
      </c>
      <c r="N100" s="21"/>
      <c r="O100" s="21"/>
      <c r="P100" s="21"/>
      <c r="Q100" s="52" t="str">
        <f t="shared" si="1"/>
        <v/>
      </c>
    </row>
    <row r="101" spans="1:17" x14ac:dyDescent="0.3">
      <c r="A101" s="40"/>
      <c r="B101" s="59"/>
      <c r="C101" s="46" t="s">
        <v>716</v>
      </c>
      <c r="D101" s="22" t="s">
        <v>716</v>
      </c>
      <c r="E101" s="34"/>
      <c r="F101" s="34"/>
      <c r="G101" s="34"/>
      <c r="H101" s="35"/>
      <c r="I101" s="35"/>
      <c r="J101" s="34"/>
      <c r="K101" s="34"/>
      <c r="L101" s="34"/>
      <c r="M101" s="68"/>
      <c r="N101" s="21"/>
      <c r="O101" s="21"/>
      <c r="P101" s="21"/>
      <c r="Q101" s="52" t="str">
        <f t="shared" si="1"/>
        <v/>
      </c>
    </row>
    <row r="102" spans="1:17" x14ac:dyDescent="0.3">
      <c r="A102" s="40" t="s">
        <v>50</v>
      </c>
      <c r="B102" s="59" t="s">
        <v>427</v>
      </c>
      <c r="C102" s="46">
        <v>16.303195959386205</v>
      </c>
      <c r="D102" s="22">
        <v>113.73085032863308</v>
      </c>
      <c r="E102" s="34">
        <v>117.13217289034</v>
      </c>
      <c r="F102" s="34">
        <v>114.340943402105</v>
      </c>
      <c r="G102" s="34">
        <v>115.467743099991</v>
      </c>
      <c r="H102" s="35">
        <v>115.277439010569</v>
      </c>
      <c r="I102" s="35">
        <v>114.985394977722</v>
      </c>
      <c r="J102" s="34">
        <v>116.156225075807</v>
      </c>
      <c r="K102" s="34">
        <v>114.45103904519</v>
      </c>
      <c r="L102" s="34">
        <v>111.92469478283201</v>
      </c>
      <c r="M102" s="68">
        <v>114.384597564975</v>
      </c>
      <c r="N102" s="21"/>
      <c r="O102" s="21"/>
      <c r="P102" s="21"/>
      <c r="Q102" s="52" t="str">
        <f t="shared" si="1"/>
        <v/>
      </c>
    </row>
    <row r="103" spans="1:17" x14ac:dyDescent="0.3">
      <c r="A103" s="40"/>
      <c r="B103" s="59"/>
      <c r="C103" s="46" t="s">
        <v>716</v>
      </c>
      <c r="D103" s="22" t="s">
        <v>716</v>
      </c>
      <c r="E103" s="34"/>
      <c r="F103" s="34"/>
      <c r="G103" s="34"/>
      <c r="H103" s="35"/>
      <c r="I103" s="35"/>
      <c r="J103" s="34"/>
      <c r="K103" s="34"/>
      <c r="L103" s="34"/>
      <c r="M103" s="68"/>
      <c r="N103" s="21"/>
      <c r="O103" s="21"/>
      <c r="P103" s="21"/>
      <c r="Q103" s="52" t="str">
        <f t="shared" si="1"/>
        <v/>
      </c>
    </row>
    <row r="104" spans="1:17" x14ac:dyDescent="0.3">
      <c r="A104" s="40" t="s">
        <v>247</v>
      </c>
      <c r="B104" s="59" t="s">
        <v>428</v>
      </c>
      <c r="C104" s="46">
        <v>13.840354019949677</v>
      </c>
      <c r="D104" s="22">
        <v>102.17092498569511</v>
      </c>
      <c r="E104" s="34">
        <v>102.170924985695</v>
      </c>
      <c r="F104" s="34">
        <v>102.170924985695</v>
      </c>
      <c r="G104" s="34">
        <v>102.330311628673</v>
      </c>
      <c r="H104" s="35">
        <v>102.330311628673</v>
      </c>
      <c r="I104" s="35">
        <v>102.330311628673</v>
      </c>
      <c r="J104" s="34">
        <v>102.330311628673</v>
      </c>
      <c r="K104" s="34">
        <v>102.330311628673</v>
      </c>
      <c r="L104" s="34">
        <v>102.330311628673</v>
      </c>
      <c r="M104" s="68">
        <v>102.330311628673</v>
      </c>
      <c r="N104" s="21"/>
      <c r="O104" s="21"/>
      <c r="P104" s="21"/>
      <c r="Q104" s="52" t="str">
        <f t="shared" si="1"/>
        <v/>
      </c>
    </row>
    <row r="105" spans="1:17" x14ac:dyDescent="0.3">
      <c r="A105" s="40" t="s">
        <v>248</v>
      </c>
      <c r="B105" s="59" t="s">
        <v>429</v>
      </c>
      <c r="C105" s="46">
        <v>0.33953937706717047</v>
      </c>
      <c r="D105" s="22">
        <v>117.44537211311865</v>
      </c>
      <c r="E105" s="34">
        <v>119.209392022644</v>
      </c>
      <c r="F105" s="34">
        <v>119.209392022644</v>
      </c>
      <c r="G105" s="34">
        <v>119.209392022644</v>
      </c>
      <c r="H105" s="35">
        <v>119.209392022644</v>
      </c>
      <c r="I105" s="35">
        <v>119.209392022644</v>
      </c>
      <c r="J105" s="34">
        <v>119.209392022644</v>
      </c>
      <c r="K105" s="34">
        <v>119.993125979241</v>
      </c>
      <c r="L105" s="34">
        <v>120.69921156805199</v>
      </c>
      <c r="M105" s="68">
        <v>121.147969430177</v>
      </c>
      <c r="N105" s="21"/>
      <c r="O105" s="21"/>
      <c r="P105" s="21"/>
      <c r="Q105" s="52" t="str">
        <f t="shared" si="1"/>
        <v/>
      </c>
    </row>
    <row r="106" spans="1:17" x14ac:dyDescent="0.3">
      <c r="A106" s="40" t="s">
        <v>249</v>
      </c>
      <c r="B106" s="59" t="s">
        <v>430</v>
      </c>
      <c r="C106" s="46">
        <v>3.439347289223408</v>
      </c>
      <c r="D106" s="22">
        <v>100.72138397593841</v>
      </c>
      <c r="E106" s="34">
        <v>100.721383975937</v>
      </c>
      <c r="F106" s="34">
        <v>100.721383975937</v>
      </c>
      <c r="G106" s="34">
        <v>100.721383975937</v>
      </c>
      <c r="H106" s="35">
        <v>100.721383975937</v>
      </c>
      <c r="I106" s="35">
        <v>100.721383975937</v>
      </c>
      <c r="J106" s="34">
        <v>100.721383975937</v>
      </c>
      <c r="K106" s="34">
        <v>100.721383975937</v>
      </c>
      <c r="L106" s="34">
        <v>100.721383975937</v>
      </c>
      <c r="M106" s="68">
        <v>101.188888297858</v>
      </c>
      <c r="N106" s="21"/>
      <c r="O106" s="21"/>
      <c r="P106" s="21"/>
      <c r="Q106" s="52" t="str">
        <f t="shared" si="1"/>
        <v/>
      </c>
    </row>
    <row r="107" spans="1:17" x14ac:dyDescent="0.3">
      <c r="A107" s="40"/>
      <c r="B107" s="59"/>
      <c r="C107" s="46" t="s">
        <v>716</v>
      </c>
      <c r="D107" s="22" t="s">
        <v>716</v>
      </c>
      <c r="E107" s="34"/>
      <c r="F107" s="34"/>
      <c r="G107" s="34"/>
      <c r="H107" s="35"/>
      <c r="I107" s="35"/>
      <c r="J107" s="34"/>
      <c r="K107" s="34"/>
      <c r="L107" s="34"/>
      <c r="M107" s="68"/>
      <c r="N107" s="21"/>
      <c r="O107" s="21"/>
      <c r="P107" s="21"/>
      <c r="Q107" s="52" t="str">
        <f t="shared" si="1"/>
        <v/>
      </c>
    </row>
    <row r="108" spans="1:17" x14ac:dyDescent="0.3">
      <c r="A108" s="40" t="s">
        <v>250</v>
      </c>
      <c r="B108" s="59" t="s">
        <v>431</v>
      </c>
      <c r="C108" s="46">
        <v>17.619240686240257</v>
      </c>
      <c r="D108" s="22">
        <v>102.03236945222794</v>
      </c>
      <c r="E108" s="34">
        <v>102.061902516171</v>
      </c>
      <c r="F108" s="34">
        <v>102.061902516171</v>
      </c>
      <c r="G108" s="34">
        <v>102.18693492013099</v>
      </c>
      <c r="H108" s="35">
        <v>102.18693492013099</v>
      </c>
      <c r="I108" s="35">
        <v>102.18693492013099</v>
      </c>
      <c r="J108" s="34">
        <v>102.18693492013099</v>
      </c>
      <c r="K108" s="34">
        <v>102.200056124109</v>
      </c>
      <c r="L108" s="34">
        <v>102.211877346042</v>
      </c>
      <c r="M108" s="68">
        <v>102.311836971223</v>
      </c>
      <c r="N108" s="21"/>
      <c r="O108" s="21"/>
      <c r="P108" s="21"/>
      <c r="Q108" s="52" t="str">
        <f t="shared" si="1"/>
        <v/>
      </c>
    </row>
    <row r="109" spans="1:17" x14ac:dyDescent="0.3">
      <c r="A109" s="40"/>
      <c r="B109" s="59"/>
      <c r="C109" s="46" t="s">
        <v>716</v>
      </c>
      <c r="D109" s="22" t="s">
        <v>716</v>
      </c>
      <c r="E109" s="34"/>
      <c r="F109" s="34"/>
      <c r="G109" s="34"/>
      <c r="H109" s="35"/>
      <c r="I109" s="35"/>
      <c r="J109" s="34"/>
      <c r="K109" s="34"/>
      <c r="L109" s="34"/>
      <c r="M109" s="68"/>
      <c r="N109" s="21"/>
      <c r="O109" s="21"/>
      <c r="P109" s="21"/>
      <c r="Q109" s="52" t="str">
        <f t="shared" si="1"/>
        <v/>
      </c>
    </row>
    <row r="110" spans="1:17" x14ac:dyDescent="0.3">
      <c r="A110" s="40" t="s">
        <v>51</v>
      </c>
      <c r="B110" s="59" t="s">
        <v>721</v>
      </c>
      <c r="C110" s="46">
        <v>33.922436645626462</v>
      </c>
      <c r="D110" s="22">
        <v>106.99195219576842</v>
      </c>
      <c r="E110" s="34">
        <v>108.54586022997501</v>
      </c>
      <c r="F110" s="34">
        <v>107.283875561481</v>
      </c>
      <c r="G110" s="34">
        <v>107.86142812655901</v>
      </c>
      <c r="H110" s="35">
        <v>107.775386887666</v>
      </c>
      <c r="I110" s="35">
        <v>107.643346475535</v>
      </c>
      <c r="J110" s="34">
        <v>108.172708048785</v>
      </c>
      <c r="K110" s="34">
        <v>107.408897186926</v>
      </c>
      <c r="L110" s="34">
        <v>106.27311212057199</v>
      </c>
      <c r="M110" s="68">
        <v>107.439738178608</v>
      </c>
      <c r="N110" s="21"/>
      <c r="O110" s="21"/>
      <c r="P110" s="21"/>
      <c r="Q110" s="52" t="str">
        <f t="shared" si="1"/>
        <v/>
      </c>
    </row>
    <row r="111" spans="1:17" x14ac:dyDescent="0.3">
      <c r="A111" s="41"/>
      <c r="B111" s="57"/>
      <c r="C111" s="46" t="s">
        <v>716</v>
      </c>
      <c r="D111" s="22"/>
      <c r="E111" s="34"/>
      <c r="F111" s="34"/>
      <c r="G111" s="34"/>
      <c r="H111" s="35"/>
      <c r="I111" s="35"/>
      <c r="J111" s="34"/>
      <c r="K111" s="34"/>
      <c r="L111" s="34"/>
      <c r="M111" s="68"/>
      <c r="N111" s="21"/>
      <c r="O111" s="21"/>
      <c r="P111" s="21"/>
      <c r="Q111" s="52" t="str">
        <f t="shared" si="1"/>
        <v/>
      </c>
    </row>
    <row r="112" spans="1:17" x14ac:dyDescent="0.3">
      <c r="B112" s="58" t="s">
        <v>433</v>
      </c>
      <c r="C112" s="46" t="s">
        <v>716</v>
      </c>
      <c r="D112" s="22"/>
      <c r="E112" s="34"/>
      <c r="F112" s="34"/>
      <c r="G112" s="34"/>
      <c r="H112" s="35"/>
      <c r="I112" s="35"/>
      <c r="J112" s="34"/>
      <c r="K112" s="34"/>
      <c r="L112" s="34"/>
      <c r="M112" s="68"/>
      <c r="N112" s="21"/>
      <c r="O112" s="21"/>
      <c r="P112" s="21"/>
      <c r="Q112" s="52" t="str">
        <f t="shared" si="1"/>
        <v/>
      </c>
    </row>
    <row r="113" spans="1:17" x14ac:dyDescent="0.3">
      <c r="A113" s="41"/>
      <c r="B113" s="57"/>
      <c r="C113" s="46" t="s">
        <v>716</v>
      </c>
      <c r="D113" s="22"/>
      <c r="E113" s="34"/>
      <c r="F113" s="34"/>
      <c r="G113" s="34"/>
      <c r="H113" s="35"/>
      <c r="I113" s="35"/>
      <c r="J113" s="34"/>
      <c r="K113" s="34"/>
      <c r="L113" s="34"/>
      <c r="M113" s="68"/>
      <c r="N113" s="21"/>
      <c r="O113" s="21"/>
      <c r="P113" s="21"/>
      <c r="Q113" s="52" t="str">
        <f t="shared" si="1"/>
        <v/>
      </c>
    </row>
    <row r="114" spans="1:17" x14ac:dyDescent="0.3">
      <c r="A114" s="42" t="s">
        <v>52</v>
      </c>
      <c r="B114" s="59" t="s">
        <v>434</v>
      </c>
      <c r="C114" s="46">
        <v>6.3492904327204058E-2</v>
      </c>
      <c r="D114" s="22">
        <v>123.91575099462437</v>
      </c>
      <c r="E114" s="34">
        <v>112.546591176738</v>
      </c>
      <c r="F114" s="34">
        <v>112.35612903099</v>
      </c>
      <c r="G114" s="34">
        <v>122.763442002378</v>
      </c>
      <c r="H114" s="35">
        <v>124.168643347215</v>
      </c>
      <c r="I114" s="35">
        <v>129.009513015826</v>
      </c>
      <c r="J114" s="34">
        <v>128.51318783541001</v>
      </c>
      <c r="K114" s="34">
        <v>118.826035671751</v>
      </c>
      <c r="L114" s="34">
        <v>118.54379599591999</v>
      </c>
      <c r="M114" s="68">
        <v>129.009513015826</v>
      </c>
      <c r="N114" s="21"/>
      <c r="O114" s="21"/>
      <c r="P114" s="21"/>
      <c r="Q114" s="52" t="str">
        <f t="shared" si="1"/>
        <v/>
      </c>
    </row>
    <row r="115" spans="1:17" x14ac:dyDescent="0.3">
      <c r="A115" s="42"/>
      <c r="B115" s="59"/>
      <c r="C115" s="46" t="s">
        <v>716</v>
      </c>
      <c r="D115" s="22" t="s">
        <v>716</v>
      </c>
      <c r="E115" s="34"/>
      <c r="F115" s="34"/>
      <c r="G115" s="34"/>
      <c r="H115" s="35"/>
      <c r="I115" s="35"/>
      <c r="J115" s="34"/>
      <c r="K115" s="34"/>
      <c r="L115" s="34"/>
      <c r="M115" s="68"/>
      <c r="N115" s="21"/>
      <c r="O115" s="21"/>
      <c r="P115" s="21"/>
      <c r="Q115" s="52" t="str">
        <f t="shared" si="1"/>
        <v/>
      </c>
    </row>
    <row r="116" spans="1:17" x14ac:dyDescent="0.3">
      <c r="A116" s="42" t="s">
        <v>53</v>
      </c>
      <c r="B116" s="59" t="s">
        <v>435</v>
      </c>
      <c r="C116" s="46">
        <v>18.033091825377596</v>
      </c>
      <c r="D116" s="22">
        <v>133.08445259243908</v>
      </c>
      <c r="E116" s="34">
        <v>106.72295673198199</v>
      </c>
      <c r="F116" s="34">
        <v>103.950896477608</v>
      </c>
      <c r="G116" s="34">
        <v>125.85983346230699</v>
      </c>
      <c r="H116" s="35">
        <v>133.965343852161</v>
      </c>
      <c r="I116" s="35">
        <v>132.79765120280501</v>
      </c>
      <c r="J116" s="34">
        <v>135.11142725029401</v>
      </c>
      <c r="K116" s="34">
        <v>108.45357798576001</v>
      </c>
      <c r="L116" s="34">
        <v>104.11403882969999</v>
      </c>
      <c r="M116" s="68">
        <v>135.38788529568899</v>
      </c>
      <c r="N116" s="21"/>
      <c r="O116" s="21"/>
      <c r="P116" s="21"/>
      <c r="Q116" s="52" t="str">
        <f t="shared" si="1"/>
        <v/>
      </c>
    </row>
    <row r="117" spans="1:17" x14ac:dyDescent="0.3">
      <c r="A117" s="42" t="s">
        <v>54</v>
      </c>
      <c r="B117" s="59" t="s">
        <v>436</v>
      </c>
      <c r="C117" s="46">
        <v>21.65670581629486</v>
      </c>
      <c r="D117" s="22">
        <v>136.19239005968214</v>
      </c>
      <c r="E117" s="34">
        <v>112.23255368441301</v>
      </c>
      <c r="F117" s="34">
        <v>107.223893242304</v>
      </c>
      <c r="G117" s="34">
        <v>132.829698965261</v>
      </c>
      <c r="H117" s="35">
        <v>137.14772947084001</v>
      </c>
      <c r="I117" s="35">
        <v>136.85914876660701</v>
      </c>
      <c r="J117" s="34">
        <v>139.34963936966801</v>
      </c>
      <c r="K117" s="34">
        <v>110.7533368693</v>
      </c>
      <c r="L117" s="34">
        <v>107.26277096472</v>
      </c>
      <c r="M117" s="68">
        <v>139.23234653854701</v>
      </c>
      <c r="N117" s="21"/>
      <c r="O117" s="21"/>
      <c r="P117" s="21"/>
      <c r="Q117" s="52" t="str">
        <f t="shared" si="1"/>
        <v/>
      </c>
    </row>
    <row r="118" spans="1:17" x14ac:dyDescent="0.3">
      <c r="A118" s="42" t="s">
        <v>55</v>
      </c>
      <c r="B118" s="59" t="s">
        <v>437</v>
      </c>
      <c r="C118" s="46">
        <v>0.97957689189268538</v>
      </c>
      <c r="D118" s="22">
        <v>121.40941799993661</v>
      </c>
      <c r="E118" s="34">
        <v>105.842039835923</v>
      </c>
      <c r="F118" s="34">
        <v>99.986253358924799</v>
      </c>
      <c r="G118" s="34">
        <v>118.66014983389999</v>
      </c>
      <c r="H118" s="35">
        <v>121.99853149370399</v>
      </c>
      <c r="I118" s="35">
        <v>116.657634786486</v>
      </c>
      <c r="J118" s="34">
        <v>121.489968392664</v>
      </c>
      <c r="K118" s="34">
        <v>103.09222522299601</v>
      </c>
      <c r="L118" s="34">
        <v>99.132690922707397</v>
      </c>
      <c r="M118" s="68">
        <v>121.334526594983</v>
      </c>
      <c r="N118" s="21"/>
      <c r="O118" s="21"/>
      <c r="P118" s="21"/>
      <c r="Q118" s="52" t="str">
        <f t="shared" si="1"/>
        <v/>
      </c>
    </row>
    <row r="119" spans="1:17" x14ac:dyDescent="0.3">
      <c r="A119" s="42"/>
      <c r="B119" s="59"/>
      <c r="C119" s="46" t="s">
        <v>716</v>
      </c>
      <c r="D119" s="22" t="s">
        <v>716</v>
      </c>
      <c r="E119" s="34"/>
      <c r="F119" s="34"/>
      <c r="G119" s="34"/>
      <c r="H119" s="35"/>
      <c r="I119" s="35"/>
      <c r="J119" s="34"/>
      <c r="K119" s="34"/>
      <c r="L119" s="34"/>
      <c r="M119" s="68"/>
      <c r="N119" s="21"/>
      <c r="O119" s="21"/>
      <c r="P119" s="21"/>
      <c r="Q119" s="52" t="str">
        <f t="shared" si="1"/>
        <v/>
      </c>
    </row>
    <row r="120" spans="1:17" x14ac:dyDescent="0.3">
      <c r="A120" s="42" t="s">
        <v>165</v>
      </c>
      <c r="B120" s="59" t="s">
        <v>438</v>
      </c>
      <c r="C120" s="46">
        <v>40.66937453356514</v>
      </c>
      <c r="D120" s="22">
        <v>134.60904800338619</v>
      </c>
      <c r="E120" s="34">
        <v>109.76010110011001</v>
      </c>
      <c r="F120" s="34">
        <v>105.724353302232</v>
      </c>
      <c r="G120" s="34">
        <v>129.52564560514</v>
      </c>
      <c r="H120" s="35">
        <v>135.52265848162801</v>
      </c>
      <c r="I120" s="35">
        <v>134.70445047591701</v>
      </c>
      <c r="J120" s="34">
        <v>137.18198025184799</v>
      </c>
      <c r="K120" s="34">
        <v>109.68429295623601</v>
      </c>
      <c r="L120" s="34">
        <v>105.795188040852</v>
      </c>
      <c r="M120" s="68">
        <v>137.240083892721</v>
      </c>
      <c r="N120" s="21"/>
      <c r="O120" s="21"/>
      <c r="P120" s="21"/>
      <c r="Q120" s="52" t="str">
        <f t="shared" si="1"/>
        <v/>
      </c>
    </row>
    <row r="121" spans="1:17" x14ac:dyDescent="0.3">
      <c r="A121" s="42"/>
      <c r="B121" s="59"/>
      <c r="C121" s="46" t="s">
        <v>716</v>
      </c>
      <c r="D121" s="22" t="s">
        <v>716</v>
      </c>
      <c r="E121" s="34"/>
      <c r="F121" s="34"/>
      <c r="G121" s="34"/>
      <c r="H121" s="35"/>
      <c r="I121" s="35"/>
      <c r="J121" s="34"/>
      <c r="K121" s="34"/>
      <c r="L121" s="34"/>
      <c r="M121" s="68"/>
      <c r="N121" s="21"/>
      <c r="O121" s="21"/>
      <c r="P121" s="21"/>
      <c r="Q121" s="52" t="str">
        <f t="shared" si="1"/>
        <v/>
      </c>
    </row>
    <row r="122" spans="1:17" x14ac:dyDescent="0.3">
      <c r="A122" s="42" t="s">
        <v>56</v>
      </c>
      <c r="B122" s="59" t="s">
        <v>439</v>
      </c>
      <c r="C122" s="46">
        <v>0.38214495478572452</v>
      </c>
      <c r="D122" s="22">
        <v>130.17915960651757</v>
      </c>
      <c r="E122" s="34">
        <v>109.438570071919</v>
      </c>
      <c r="F122" s="34">
        <v>108.840555138098</v>
      </c>
      <c r="G122" s="34">
        <v>125.642698904081</v>
      </c>
      <c r="H122" s="35">
        <v>130.36174684803501</v>
      </c>
      <c r="I122" s="35">
        <v>125.305393922248</v>
      </c>
      <c r="J122" s="34">
        <v>130.46299575129501</v>
      </c>
      <c r="K122" s="34">
        <v>109.00956990283299</v>
      </c>
      <c r="L122" s="34">
        <v>104.798986001336</v>
      </c>
      <c r="M122" s="68">
        <v>130.087262943795</v>
      </c>
      <c r="N122" s="21"/>
      <c r="O122" s="21"/>
      <c r="P122" s="21"/>
      <c r="Q122" s="52" t="str">
        <f t="shared" si="1"/>
        <v/>
      </c>
    </row>
    <row r="123" spans="1:17" x14ac:dyDescent="0.3">
      <c r="A123" s="42" t="s">
        <v>57</v>
      </c>
      <c r="B123" s="59" t="s">
        <v>440</v>
      </c>
      <c r="C123" s="46">
        <v>0.34349316665673951</v>
      </c>
      <c r="D123" s="22">
        <v>127.52746563528507</v>
      </c>
      <c r="E123" s="34">
        <v>127.54490171846901</v>
      </c>
      <c r="F123" s="34">
        <v>127.54490171846901</v>
      </c>
      <c r="G123" s="34">
        <v>127.72897855111501</v>
      </c>
      <c r="H123" s="35">
        <v>127.72897855111501</v>
      </c>
      <c r="I123" s="35">
        <v>128.13956822703099</v>
      </c>
      <c r="J123" s="34">
        <v>128.357921685664</v>
      </c>
      <c r="K123" s="34">
        <v>129.26378111747999</v>
      </c>
      <c r="L123" s="34">
        <v>129.26378111747999</v>
      </c>
      <c r="M123" s="68">
        <v>129.26378111747999</v>
      </c>
      <c r="N123" s="21"/>
      <c r="O123" s="21"/>
      <c r="P123" s="21"/>
      <c r="Q123" s="52" t="str">
        <f t="shared" si="1"/>
        <v/>
      </c>
    </row>
    <row r="124" spans="1:17" x14ac:dyDescent="0.3">
      <c r="A124" s="42"/>
      <c r="B124" s="59"/>
      <c r="C124" s="46" t="s">
        <v>716</v>
      </c>
      <c r="D124" s="22" t="s">
        <v>716</v>
      </c>
      <c r="E124" s="34"/>
      <c r="F124" s="34"/>
      <c r="G124" s="34"/>
      <c r="H124" s="35"/>
      <c r="I124" s="35"/>
      <c r="J124" s="34"/>
      <c r="K124" s="34"/>
      <c r="L124" s="34"/>
      <c r="M124" s="68"/>
      <c r="N124" s="21"/>
      <c r="O124" s="21"/>
      <c r="P124" s="21"/>
      <c r="Q124" s="52" t="str">
        <f t="shared" si="1"/>
        <v/>
      </c>
    </row>
    <row r="125" spans="1:17" x14ac:dyDescent="0.3">
      <c r="A125" s="42" t="s">
        <v>166</v>
      </c>
      <c r="B125" s="59" t="s">
        <v>441</v>
      </c>
      <c r="C125" s="46">
        <v>0.72563812144246409</v>
      </c>
      <c r="D125" s="22">
        <v>128.32751068753379</v>
      </c>
      <c r="E125" s="34">
        <v>117.568500531686</v>
      </c>
      <c r="F125" s="34">
        <v>117.258045734023</v>
      </c>
      <c r="G125" s="34">
        <v>126.068430427069</v>
      </c>
      <c r="H125" s="35">
        <v>128.518287431874</v>
      </c>
      <c r="I125" s="35">
        <v>126.08890010668</v>
      </c>
      <c r="J125" s="34">
        <v>128.870438715017</v>
      </c>
      <c r="K125" s="34">
        <v>118.164553790428</v>
      </c>
      <c r="L125" s="34">
        <v>115.97866193514</v>
      </c>
      <c r="M125" s="68">
        <v>129.10687405392201</v>
      </c>
      <c r="N125" s="21"/>
      <c r="O125" s="21"/>
      <c r="P125" s="21"/>
      <c r="Q125" s="52" t="str">
        <f t="shared" si="1"/>
        <v/>
      </c>
    </row>
    <row r="126" spans="1:17" x14ac:dyDescent="0.3">
      <c r="A126" s="42"/>
      <c r="B126" s="59"/>
      <c r="C126" s="46" t="s">
        <v>716</v>
      </c>
      <c r="D126" s="22" t="s">
        <v>716</v>
      </c>
      <c r="E126" s="34"/>
      <c r="F126" s="34"/>
      <c r="G126" s="34"/>
      <c r="H126" s="35"/>
      <c r="I126" s="35"/>
      <c r="J126" s="34"/>
      <c r="K126" s="34"/>
      <c r="L126" s="34"/>
      <c r="M126" s="68"/>
      <c r="N126" s="21"/>
      <c r="O126" s="21"/>
      <c r="P126" s="21"/>
      <c r="Q126" s="52" t="str">
        <f t="shared" si="1"/>
        <v/>
      </c>
    </row>
    <row r="127" spans="1:17" x14ac:dyDescent="0.3">
      <c r="A127" s="42" t="s">
        <v>167</v>
      </c>
      <c r="B127" s="59" t="s">
        <v>442</v>
      </c>
      <c r="C127" s="46">
        <v>1.0844787959049109</v>
      </c>
      <c r="D127" s="22">
        <v>116.38277164028278</v>
      </c>
      <c r="E127" s="34">
        <v>117.11346735545401</v>
      </c>
      <c r="F127" s="34">
        <v>117.353341966581</v>
      </c>
      <c r="G127" s="34">
        <v>119.51881556146</v>
      </c>
      <c r="H127" s="35">
        <v>120.580112062035</v>
      </c>
      <c r="I127" s="35">
        <v>120.853430285285</v>
      </c>
      <c r="J127" s="34">
        <v>120.853430285285</v>
      </c>
      <c r="K127" s="34">
        <v>122.01725396139599</v>
      </c>
      <c r="L127" s="34">
        <v>122.06421619152199</v>
      </c>
      <c r="M127" s="68">
        <v>122.754726766945</v>
      </c>
      <c r="N127" s="21"/>
      <c r="O127" s="21"/>
      <c r="P127" s="21"/>
      <c r="Q127" s="52" t="str">
        <f t="shared" si="1"/>
        <v/>
      </c>
    </row>
    <row r="128" spans="1:17" x14ac:dyDescent="0.3">
      <c r="A128" s="42" t="s">
        <v>168</v>
      </c>
      <c r="B128" s="59" t="s">
        <v>443</v>
      </c>
      <c r="C128" s="46">
        <v>0.38330338539065473</v>
      </c>
      <c r="D128" s="22">
        <v>114.38581101711151</v>
      </c>
      <c r="E128" s="34">
        <v>114.544133266773</v>
      </c>
      <c r="F128" s="34">
        <v>114.721299804083</v>
      </c>
      <c r="G128" s="34">
        <v>115.58213504768101</v>
      </c>
      <c r="H128" s="35">
        <v>115.58213504768101</v>
      </c>
      <c r="I128" s="35">
        <v>116.701274562458</v>
      </c>
      <c r="J128" s="34">
        <v>116.701274562458</v>
      </c>
      <c r="K128" s="34">
        <v>117.35826604825399</v>
      </c>
      <c r="L128" s="34">
        <v>118.336363723367</v>
      </c>
      <c r="M128" s="68">
        <v>118.38208143063299</v>
      </c>
      <c r="N128" s="21"/>
      <c r="O128" s="21"/>
      <c r="P128" s="21"/>
      <c r="Q128" s="52" t="str">
        <f t="shared" si="1"/>
        <v/>
      </c>
    </row>
    <row r="129" spans="1:17" x14ac:dyDescent="0.3">
      <c r="A129" s="42"/>
      <c r="B129" s="59"/>
      <c r="C129" s="46" t="s">
        <v>716</v>
      </c>
      <c r="D129" s="22" t="s">
        <v>716</v>
      </c>
      <c r="E129" s="34"/>
      <c r="F129" s="34"/>
      <c r="G129" s="34"/>
      <c r="H129" s="35"/>
      <c r="I129" s="35"/>
      <c r="J129" s="34"/>
      <c r="K129" s="34"/>
      <c r="L129" s="34"/>
      <c r="M129" s="68"/>
      <c r="N129" s="21"/>
      <c r="O129" s="21"/>
      <c r="P129" s="21"/>
      <c r="Q129" s="52" t="str">
        <f t="shared" si="1"/>
        <v/>
      </c>
    </row>
    <row r="130" spans="1:17" x14ac:dyDescent="0.3">
      <c r="A130" s="42" t="s">
        <v>169</v>
      </c>
      <c r="B130" s="59" t="s">
        <v>444</v>
      </c>
      <c r="C130" s="46">
        <v>1.4677821812955656</v>
      </c>
      <c r="D130" s="22">
        <v>115.77527738315258</v>
      </c>
      <c r="E130" s="34">
        <v>116.35418503110201</v>
      </c>
      <c r="F130" s="34">
        <v>116.577320652399</v>
      </c>
      <c r="G130" s="34">
        <v>118.396474184442</v>
      </c>
      <c r="H130" s="35">
        <v>119.176525764009</v>
      </c>
      <c r="I130" s="35">
        <v>119.67322165245599</v>
      </c>
      <c r="J130" s="34">
        <v>119.67322165245599</v>
      </c>
      <c r="K130" s="34">
        <v>120.70228444315499</v>
      </c>
      <c r="L130" s="34">
        <v>120.995329240758</v>
      </c>
      <c r="M130" s="68">
        <v>121.514937593125</v>
      </c>
      <c r="N130" s="21"/>
      <c r="O130" s="21"/>
      <c r="P130" s="21"/>
      <c r="Q130" s="52" t="str">
        <f t="shared" si="1"/>
        <v/>
      </c>
    </row>
    <row r="131" spans="1:17" x14ac:dyDescent="0.3">
      <c r="A131" s="42"/>
      <c r="B131" s="59"/>
      <c r="C131" s="46" t="s">
        <v>716</v>
      </c>
      <c r="D131" s="22" t="s">
        <v>716</v>
      </c>
      <c r="E131" s="34"/>
      <c r="F131" s="34"/>
      <c r="G131" s="34"/>
      <c r="H131" s="35"/>
      <c r="I131" s="35"/>
      <c r="J131" s="34"/>
      <c r="K131" s="34"/>
      <c r="L131" s="34"/>
      <c r="M131" s="68"/>
      <c r="N131" s="21"/>
      <c r="O131" s="21"/>
      <c r="P131" s="21"/>
      <c r="Q131" s="52" t="str">
        <f t="shared" si="1"/>
        <v/>
      </c>
    </row>
    <row r="132" spans="1:17" x14ac:dyDescent="0.3">
      <c r="A132" s="42" t="s">
        <v>58</v>
      </c>
      <c r="B132" s="59" t="s">
        <v>445</v>
      </c>
      <c r="C132" s="46">
        <v>42.926287740630379</v>
      </c>
      <c r="D132" s="22">
        <v>133.85162465238506</v>
      </c>
      <c r="E132" s="34">
        <v>110.25663579198201</v>
      </c>
      <c r="F132" s="34">
        <v>106.45763069564801</v>
      </c>
      <c r="G132" s="34">
        <v>129.124536716291</v>
      </c>
      <c r="H132" s="35">
        <v>134.85055538463499</v>
      </c>
      <c r="I132" s="35">
        <v>134.06426246388901</v>
      </c>
      <c r="J132" s="34">
        <v>136.44657572750799</v>
      </c>
      <c r="K132" s="34">
        <v>110.37764785114599</v>
      </c>
      <c r="L132" s="34">
        <v>106.686343281077</v>
      </c>
      <c r="M132" s="68">
        <v>136.57908280074099</v>
      </c>
      <c r="N132" s="21"/>
      <c r="O132" s="21"/>
      <c r="P132" s="21"/>
      <c r="Q132" s="52" t="str">
        <f t="shared" si="1"/>
        <v/>
      </c>
    </row>
    <row r="133" spans="1:17" x14ac:dyDescent="0.3">
      <c r="A133" s="42"/>
      <c r="B133" s="59"/>
      <c r="C133" s="46" t="s">
        <v>716</v>
      </c>
      <c r="D133" s="22" t="s">
        <v>716</v>
      </c>
      <c r="E133" s="34"/>
      <c r="F133" s="34"/>
      <c r="G133" s="34"/>
      <c r="H133" s="35"/>
      <c r="I133" s="35"/>
      <c r="J133" s="34"/>
      <c r="K133" s="34"/>
      <c r="L133" s="34"/>
      <c r="M133" s="68"/>
      <c r="N133" s="21"/>
      <c r="O133" s="21"/>
      <c r="P133" s="21"/>
      <c r="Q133" s="52" t="str">
        <f t="shared" si="1"/>
        <v/>
      </c>
    </row>
    <row r="134" spans="1:17" x14ac:dyDescent="0.3">
      <c r="A134" s="42" t="s">
        <v>59</v>
      </c>
      <c r="B134" s="59" t="s">
        <v>446</v>
      </c>
      <c r="C134" s="46">
        <v>5.0844226168952451</v>
      </c>
      <c r="D134" s="22">
        <v>131.77199524784982</v>
      </c>
      <c r="E134" s="34">
        <v>106.61812295697599</v>
      </c>
      <c r="F134" s="34">
        <v>100.585003865075</v>
      </c>
      <c r="G134" s="34">
        <v>124.19716813415</v>
      </c>
      <c r="H134" s="35">
        <v>130.20640993896501</v>
      </c>
      <c r="I134" s="35">
        <v>132.46231725323801</v>
      </c>
      <c r="J134" s="34">
        <v>133.00148760828199</v>
      </c>
      <c r="K134" s="34">
        <v>105.375893421284</v>
      </c>
      <c r="L134" s="34">
        <v>101.616952922103</v>
      </c>
      <c r="M134" s="68">
        <v>133.430578798802</v>
      </c>
      <c r="N134" s="21"/>
      <c r="O134" s="21"/>
      <c r="P134" s="21"/>
      <c r="Q134" s="52" t="str">
        <f t="shared" si="1"/>
        <v/>
      </c>
    </row>
    <row r="135" spans="1:17" x14ac:dyDescent="0.3">
      <c r="A135" s="42" t="s">
        <v>60</v>
      </c>
      <c r="B135" s="59" t="s">
        <v>447</v>
      </c>
      <c r="C135" s="46">
        <v>5.4561650081073134</v>
      </c>
      <c r="D135" s="22">
        <v>118.54359389356958</v>
      </c>
      <c r="E135" s="34">
        <v>93.344187151807304</v>
      </c>
      <c r="F135" s="34">
        <v>88.777504672541497</v>
      </c>
      <c r="G135" s="34">
        <v>113.495540992892</v>
      </c>
      <c r="H135" s="35">
        <v>118.68530210131701</v>
      </c>
      <c r="I135" s="35">
        <v>119.444156087539</v>
      </c>
      <c r="J135" s="34">
        <v>119.293146127234</v>
      </c>
      <c r="K135" s="34">
        <v>93.567788559599705</v>
      </c>
      <c r="L135" s="34">
        <v>88.215133131442101</v>
      </c>
      <c r="M135" s="68">
        <v>120.20786546462899</v>
      </c>
      <c r="N135" s="21"/>
      <c r="O135" s="21"/>
      <c r="P135" s="21"/>
      <c r="Q135" s="52" t="str">
        <f t="shared" si="1"/>
        <v/>
      </c>
    </row>
    <row r="136" spans="1:17" x14ac:dyDescent="0.3">
      <c r="A136" s="42" t="s">
        <v>61</v>
      </c>
      <c r="B136" s="59" t="s">
        <v>448</v>
      </c>
      <c r="C136" s="46">
        <v>2.1353294740696525</v>
      </c>
      <c r="D136" s="22">
        <v>133.17700285398271</v>
      </c>
      <c r="E136" s="34">
        <v>107.41484396354301</v>
      </c>
      <c r="F136" s="34">
        <v>105.662159983526</v>
      </c>
      <c r="G136" s="34">
        <v>125.479420701653</v>
      </c>
      <c r="H136" s="35">
        <v>130.65776909105301</v>
      </c>
      <c r="I136" s="35">
        <v>132.80585010744099</v>
      </c>
      <c r="J136" s="34">
        <v>134.011059212596</v>
      </c>
      <c r="K136" s="34">
        <v>115.540063012405</v>
      </c>
      <c r="L136" s="34">
        <v>114.496836521245</v>
      </c>
      <c r="M136" s="68">
        <v>133.63293437415001</v>
      </c>
      <c r="N136" s="21"/>
      <c r="O136" s="21"/>
      <c r="P136" s="21"/>
      <c r="Q136" s="52" t="str">
        <f t="shared" ref="Q136:Q199" si="2">IF(P136="","",AVERAGE(E136:P136))</f>
        <v/>
      </c>
    </row>
    <row r="137" spans="1:17" x14ac:dyDescent="0.3">
      <c r="A137" s="42"/>
      <c r="B137" s="59"/>
      <c r="C137" s="46" t="s">
        <v>716</v>
      </c>
      <c r="D137" s="22" t="s">
        <v>716</v>
      </c>
      <c r="E137" s="34"/>
      <c r="F137" s="34"/>
      <c r="G137" s="34"/>
      <c r="H137" s="35"/>
      <c r="I137" s="35"/>
      <c r="J137" s="34"/>
      <c r="K137" s="34"/>
      <c r="L137" s="34"/>
      <c r="M137" s="68"/>
      <c r="N137" s="21"/>
      <c r="O137" s="21"/>
      <c r="P137" s="21"/>
      <c r="Q137" s="52" t="str">
        <f t="shared" si="2"/>
        <v/>
      </c>
    </row>
    <row r="138" spans="1:17" x14ac:dyDescent="0.3">
      <c r="A138" s="42" t="s">
        <v>170</v>
      </c>
      <c r="B138" s="59" t="s">
        <v>449</v>
      </c>
      <c r="C138" s="46">
        <v>12.675917099072212</v>
      </c>
      <c r="D138" s="22">
        <v>126.06079790942263</v>
      </c>
      <c r="E138" s="34">
        <v>100.766217970897</v>
      </c>
      <c r="F138" s="34">
        <v>96.081380270263594</v>
      </c>
      <c r="G138" s="34">
        <v>119.616091749101</v>
      </c>
      <c r="H138" s="35">
        <v>125.123206417364</v>
      </c>
      <c r="I138" s="35">
        <v>126.678724239437</v>
      </c>
      <c r="J138" s="34">
        <v>127.008670861168</v>
      </c>
      <c r="K138" s="34">
        <v>101.687495046037</v>
      </c>
      <c r="L138" s="34">
        <v>97.628676789976197</v>
      </c>
      <c r="M138" s="68">
        <v>127.531725036865</v>
      </c>
      <c r="N138" s="21"/>
      <c r="O138" s="21"/>
      <c r="P138" s="21"/>
      <c r="Q138" s="52" t="str">
        <f t="shared" si="2"/>
        <v/>
      </c>
    </row>
    <row r="139" spans="1:17" x14ac:dyDescent="0.3">
      <c r="A139" s="42"/>
      <c r="B139" s="59"/>
      <c r="C139" s="46" t="s">
        <v>716</v>
      </c>
      <c r="D139" s="22" t="s">
        <v>716</v>
      </c>
      <c r="E139" s="34"/>
      <c r="F139" s="34"/>
      <c r="G139" s="34"/>
      <c r="H139" s="35"/>
      <c r="I139" s="35"/>
      <c r="J139" s="34"/>
      <c r="K139" s="34"/>
      <c r="L139" s="34"/>
      <c r="M139" s="68"/>
      <c r="N139" s="21"/>
      <c r="O139" s="21"/>
      <c r="P139" s="21"/>
      <c r="Q139" s="52" t="str">
        <f t="shared" si="2"/>
        <v/>
      </c>
    </row>
    <row r="140" spans="1:17" x14ac:dyDescent="0.3">
      <c r="A140" s="42" t="s">
        <v>62</v>
      </c>
      <c r="B140" s="59" t="s">
        <v>450</v>
      </c>
      <c r="C140" s="46">
        <v>0.12529567556064028</v>
      </c>
      <c r="D140" s="22">
        <v>119.59739428110582</v>
      </c>
      <c r="E140" s="34">
        <v>119.622671824089</v>
      </c>
      <c r="F140" s="34">
        <v>119.945494894158</v>
      </c>
      <c r="G140" s="34">
        <v>120.524612913159</v>
      </c>
      <c r="H140" s="35">
        <v>120.669938297906</v>
      </c>
      <c r="I140" s="35">
        <v>120.784916996056</v>
      </c>
      <c r="J140" s="34">
        <v>121.952698473149</v>
      </c>
      <c r="K140" s="34">
        <v>122.22369137418301</v>
      </c>
      <c r="L140" s="34">
        <v>122.22369137418301</v>
      </c>
      <c r="M140" s="68">
        <v>122.358016458712</v>
      </c>
      <c r="N140" s="21"/>
      <c r="O140" s="21"/>
      <c r="P140" s="21"/>
      <c r="Q140" s="52" t="str">
        <f t="shared" si="2"/>
        <v/>
      </c>
    </row>
    <row r="141" spans="1:17" x14ac:dyDescent="0.3">
      <c r="A141" s="42"/>
      <c r="B141" s="59"/>
      <c r="C141" s="46" t="s">
        <v>716</v>
      </c>
      <c r="D141" s="22" t="s">
        <v>716</v>
      </c>
      <c r="E141" s="34"/>
      <c r="F141" s="34"/>
      <c r="G141" s="34"/>
      <c r="H141" s="35"/>
      <c r="I141" s="35"/>
      <c r="J141" s="34"/>
      <c r="K141" s="34"/>
      <c r="L141" s="34"/>
      <c r="M141" s="68"/>
      <c r="N141" s="21"/>
      <c r="O141" s="21"/>
      <c r="P141" s="21"/>
      <c r="Q141" s="52" t="str">
        <f t="shared" si="2"/>
        <v/>
      </c>
    </row>
    <row r="142" spans="1:17" x14ac:dyDescent="0.3">
      <c r="A142" s="42" t="s">
        <v>63</v>
      </c>
      <c r="B142" s="59" t="s">
        <v>451</v>
      </c>
      <c r="C142" s="46">
        <v>12.801212774632852</v>
      </c>
      <c r="D142" s="22">
        <v>125.99331181188633</v>
      </c>
      <c r="E142" s="34">
        <v>100.959979539736</v>
      </c>
      <c r="F142" s="34">
        <v>96.326808245293705</v>
      </c>
      <c r="G142" s="34">
        <v>119.62466227537899</v>
      </c>
      <c r="H142" s="35">
        <v>125.07645355275901</v>
      </c>
      <c r="I142" s="35">
        <v>126.617107265269</v>
      </c>
      <c r="J142" s="34">
        <v>126.95569080051099</v>
      </c>
      <c r="K142" s="34">
        <v>101.898570694555</v>
      </c>
      <c r="L142" s="34">
        <v>97.881630931782794</v>
      </c>
      <c r="M142" s="68">
        <v>127.47752748345999</v>
      </c>
      <c r="N142" s="21"/>
      <c r="O142" s="21"/>
      <c r="P142" s="21"/>
      <c r="Q142" s="52" t="str">
        <f t="shared" si="2"/>
        <v/>
      </c>
    </row>
    <row r="143" spans="1:17" x14ac:dyDescent="0.3">
      <c r="A143" s="42"/>
      <c r="B143" s="59"/>
      <c r="C143" s="46" t="s">
        <v>716</v>
      </c>
      <c r="D143" s="22" t="s">
        <v>716</v>
      </c>
      <c r="E143" s="34"/>
      <c r="F143" s="34"/>
      <c r="G143" s="34"/>
      <c r="H143" s="35"/>
      <c r="I143" s="35"/>
      <c r="J143" s="34"/>
      <c r="K143" s="34"/>
      <c r="L143" s="34"/>
      <c r="M143" s="68"/>
      <c r="N143" s="21"/>
      <c r="O143" s="21"/>
      <c r="P143" s="21"/>
      <c r="Q143" s="52" t="str">
        <f t="shared" si="2"/>
        <v/>
      </c>
    </row>
    <row r="144" spans="1:17" x14ac:dyDescent="0.3">
      <c r="A144" s="42" t="s">
        <v>64</v>
      </c>
      <c r="B144" s="59" t="s">
        <v>452</v>
      </c>
      <c r="C144" s="46">
        <v>55.72750051526323</v>
      </c>
      <c r="D144" s="22">
        <v>132.10073703937493</v>
      </c>
      <c r="E144" s="34">
        <v>108.134340856888</v>
      </c>
      <c r="F144" s="34">
        <v>104.130406911457</v>
      </c>
      <c r="G144" s="34">
        <v>126.973279480339</v>
      </c>
      <c r="H144" s="35">
        <v>132.63931571547201</v>
      </c>
      <c r="I144" s="35">
        <v>132.41262568617799</v>
      </c>
      <c r="J144" s="34">
        <v>134.30523795412299</v>
      </c>
      <c r="K144" s="34">
        <v>108.452391665996</v>
      </c>
      <c r="L144" s="34">
        <v>104.67874992643399</v>
      </c>
      <c r="M144" s="68">
        <v>134.531653807959</v>
      </c>
      <c r="N144" s="21"/>
      <c r="O144" s="21"/>
      <c r="P144" s="21"/>
      <c r="Q144" s="52" t="str">
        <f t="shared" si="2"/>
        <v/>
      </c>
    </row>
    <row r="145" spans="1:17" x14ac:dyDescent="0.3">
      <c r="A145" s="41"/>
      <c r="B145" s="57"/>
      <c r="C145" s="46" t="s">
        <v>716</v>
      </c>
      <c r="D145" s="22"/>
      <c r="E145" s="34"/>
      <c r="F145" s="34"/>
      <c r="G145" s="34"/>
      <c r="H145" s="35"/>
      <c r="I145" s="35"/>
      <c r="J145" s="34"/>
      <c r="K145" s="34"/>
      <c r="L145" s="34"/>
      <c r="M145" s="68"/>
      <c r="N145" s="21"/>
      <c r="O145" s="21"/>
      <c r="P145" s="21"/>
      <c r="Q145" s="52" t="str">
        <f t="shared" si="2"/>
        <v/>
      </c>
    </row>
    <row r="146" spans="1:17" x14ac:dyDescent="0.3">
      <c r="B146" s="55" t="s">
        <v>453</v>
      </c>
      <c r="C146" s="46" t="s">
        <v>716</v>
      </c>
      <c r="D146" s="22"/>
      <c r="E146" s="34"/>
      <c r="F146" s="34"/>
      <c r="G146" s="34"/>
      <c r="H146" s="35"/>
      <c r="I146" s="35"/>
      <c r="J146" s="34"/>
      <c r="K146" s="34"/>
      <c r="L146" s="34"/>
      <c r="M146" s="68"/>
      <c r="N146" s="21"/>
      <c r="O146" s="21"/>
      <c r="P146" s="21"/>
      <c r="Q146" s="52" t="str">
        <f t="shared" si="2"/>
        <v/>
      </c>
    </row>
    <row r="147" spans="1:17" x14ac:dyDescent="0.3">
      <c r="A147" s="41"/>
      <c r="B147" s="57"/>
      <c r="C147" s="46" t="s">
        <v>716</v>
      </c>
      <c r="D147" s="22"/>
      <c r="E147" s="34"/>
      <c r="F147" s="34"/>
      <c r="G147" s="34"/>
      <c r="H147" s="35"/>
      <c r="I147" s="35"/>
      <c r="J147" s="34"/>
      <c r="K147" s="34"/>
      <c r="L147" s="34"/>
      <c r="M147" s="68"/>
      <c r="N147" s="21"/>
      <c r="O147" s="21"/>
      <c r="P147" s="21"/>
      <c r="Q147" s="52" t="str">
        <f t="shared" si="2"/>
        <v/>
      </c>
    </row>
    <row r="148" spans="1:17" x14ac:dyDescent="0.3">
      <c r="A148" s="40" t="s">
        <v>171</v>
      </c>
      <c r="B148" s="57" t="s">
        <v>454</v>
      </c>
      <c r="C148" s="46">
        <v>46.643635708516996</v>
      </c>
      <c r="D148" s="22">
        <v>127.44594730207609</v>
      </c>
      <c r="E148" s="34">
        <v>128.61955879699701</v>
      </c>
      <c r="F148" s="34">
        <v>129.19834681158301</v>
      </c>
      <c r="G148" s="34">
        <v>129.368759431028</v>
      </c>
      <c r="H148" s="35">
        <v>130.19206221604699</v>
      </c>
      <c r="I148" s="35">
        <v>130.956289621254</v>
      </c>
      <c r="J148" s="34">
        <v>131.414636634929</v>
      </c>
      <c r="K148" s="34">
        <v>131.83516347216101</v>
      </c>
      <c r="L148" s="34">
        <v>131.782429406772</v>
      </c>
      <c r="M148" s="68">
        <v>132.05390121135</v>
      </c>
      <c r="N148" s="21"/>
      <c r="O148" s="21"/>
      <c r="P148" s="21"/>
      <c r="Q148" s="52" t="str">
        <f t="shared" si="2"/>
        <v/>
      </c>
    </row>
    <row r="149" spans="1:17" x14ac:dyDescent="0.3">
      <c r="A149" s="40"/>
      <c r="B149" s="57"/>
      <c r="C149" s="46" t="s">
        <v>716</v>
      </c>
      <c r="D149" s="22" t="s">
        <v>716</v>
      </c>
      <c r="E149" s="34"/>
      <c r="F149" s="34"/>
      <c r="G149" s="34"/>
      <c r="H149" s="35"/>
      <c r="I149" s="35"/>
      <c r="J149" s="34"/>
      <c r="K149" s="34"/>
      <c r="L149" s="34"/>
      <c r="M149" s="68"/>
      <c r="N149" s="21"/>
      <c r="O149" s="21"/>
      <c r="P149" s="21"/>
      <c r="Q149" s="52" t="str">
        <f t="shared" si="2"/>
        <v/>
      </c>
    </row>
    <row r="150" spans="1:17" x14ac:dyDescent="0.3">
      <c r="A150" s="40" t="s">
        <v>65</v>
      </c>
      <c r="B150" s="57" t="s">
        <v>455</v>
      </c>
      <c r="C150" s="46">
        <v>46.643635708516996</v>
      </c>
      <c r="D150" s="22">
        <v>127.44594730207609</v>
      </c>
      <c r="E150" s="34">
        <v>128.61955879699701</v>
      </c>
      <c r="F150" s="34">
        <v>129.19834681158301</v>
      </c>
      <c r="G150" s="34">
        <v>129.368759431028</v>
      </c>
      <c r="H150" s="35">
        <v>130.19206221604699</v>
      </c>
      <c r="I150" s="35">
        <v>130.956289621254</v>
      </c>
      <c r="J150" s="34">
        <v>131.414636634929</v>
      </c>
      <c r="K150" s="34">
        <v>131.83516347216101</v>
      </c>
      <c r="L150" s="34">
        <v>131.782429406772</v>
      </c>
      <c r="M150" s="68">
        <v>132.05390121135</v>
      </c>
      <c r="N150" s="21"/>
      <c r="O150" s="21"/>
      <c r="P150" s="21"/>
      <c r="Q150" s="52" t="str">
        <f t="shared" si="2"/>
        <v/>
      </c>
    </row>
    <row r="151" spans="1:17" x14ac:dyDescent="0.3">
      <c r="A151" s="40"/>
      <c r="B151" s="57"/>
      <c r="C151" s="46" t="s">
        <v>716</v>
      </c>
      <c r="D151" s="22" t="s">
        <v>716</v>
      </c>
      <c r="E151" s="34"/>
      <c r="F151" s="34"/>
      <c r="G151" s="34"/>
      <c r="H151" s="35"/>
      <c r="I151" s="35"/>
      <c r="J151" s="34"/>
      <c r="K151" s="34"/>
      <c r="L151" s="34"/>
      <c r="M151" s="68"/>
      <c r="N151" s="21"/>
      <c r="O151" s="21"/>
      <c r="P151" s="21"/>
      <c r="Q151" s="52" t="str">
        <f t="shared" si="2"/>
        <v/>
      </c>
    </row>
    <row r="152" spans="1:17" x14ac:dyDescent="0.3">
      <c r="A152" s="40" t="s">
        <v>251</v>
      </c>
      <c r="B152" s="57" t="s">
        <v>456</v>
      </c>
      <c r="C152" s="46">
        <v>3.2557350431721521</v>
      </c>
      <c r="D152" s="22">
        <v>121.37118396548338</v>
      </c>
      <c r="E152" s="34">
        <v>121.75607212776499</v>
      </c>
      <c r="F152" s="34">
        <v>122.675210060662</v>
      </c>
      <c r="G152" s="34">
        <v>122.57258946803999</v>
      </c>
      <c r="H152" s="35">
        <v>123.284477261875</v>
      </c>
      <c r="I152" s="35">
        <v>123.802699192959</v>
      </c>
      <c r="J152" s="34">
        <v>123.968066552488</v>
      </c>
      <c r="K152" s="34">
        <v>122.739179767591</v>
      </c>
      <c r="L152" s="34">
        <v>123.39075902255</v>
      </c>
      <c r="M152" s="68">
        <v>125.057654605648</v>
      </c>
      <c r="N152" s="21"/>
      <c r="O152" s="21"/>
      <c r="P152" s="21"/>
      <c r="Q152" s="52" t="str">
        <f t="shared" si="2"/>
        <v/>
      </c>
    </row>
    <row r="153" spans="1:17" x14ac:dyDescent="0.3">
      <c r="A153" s="40" t="s">
        <v>252</v>
      </c>
      <c r="B153" s="57" t="s">
        <v>457</v>
      </c>
      <c r="C153" s="46">
        <v>0.14815994859304146</v>
      </c>
      <c r="D153" s="22">
        <v>120.64201096575209</v>
      </c>
      <c r="E153" s="34">
        <v>120.09055965931</v>
      </c>
      <c r="F153" s="34">
        <v>121.037158611617</v>
      </c>
      <c r="G153" s="34">
        <v>123.626925445228</v>
      </c>
      <c r="H153" s="35">
        <v>123.209763374217</v>
      </c>
      <c r="I153" s="35">
        <v>123.03546410690301</v>
      </c>
      <c r="J153" s="34">
        <v>122.63006694650301</v>
      </c>
      <c r="K153" s="34">
        <v>126.570970889835</v>
      </c>
      <c r="L153" s="34">
        <v>129.571179284674</v>
      </c>
      <c r="M153" s="68">
        <v>134.14699076186901</v>
      </c>
      <c r="N153" s="21"/>
      <c r="O153" s="21"/>
      <c r="P153" s="21"/>
      <c r="Q153" s="52" t="str">
        <f t="shared" si="2"/>
        <v/>
      </c>
    </row>
    <row r="154" spans="1:17" x14ac:dyDescent="0.3">
      <c r="A154" s="40"/>
      <c r="B154" s="57"/>
      <c r="C154" s="46" t="s">
        <v>716</v>
      </c>
      <c r="D154" s="22" t="s">
        <v>716</v>
      </c>
      <c r="E154" s="34"/>
      <c r="F154" s="34"/>
      <c r="G154" s="34"/>
      <c r="H154" s="35"/>
      <c r="I154" s="35"/>
      <c r="J154" s="34"/>
      <c r="K154" s="34"/>
      <c r="L154" s="34"/>
      <c r="M154" s="68"/>
      <c r="N154" s="21"/>
      <c r="O154" s="21"/>
      <c r="P154" s="21"/>
      <c r="Q154" s="52" t="str">
        <f t="shared" si="2"/>
        <v/>
      </c>
    </row>
    <row r="155" spans="1:17" x14ac:dyDescent="0.3">
      <c r="A155" s="40" t="s">
        <v>66</v>
      </c>
      <c r="B155" s="57" t="s">
        <v>458</v>
      </c>
      <c r="C155" s="46">
        <v>3.4038949917651937</v>
      </c>
      <c r="D155" s="22">
        <v>121.26513920126416</v>
      </c>
      <c r="E155" s="34">
        <v>121.608826072439</v>
      </c>
      <c r="F155" s="34">
        <v>122.528603986863</v>
      </c>
      <c r="G155" s="34">
        <v>122.543841832057</v>
      </c>
      <c r="H155" s="35">
        <v>123.205897227639</v>
      </c>
      <c r="I155" s="35">
        <v>123.69350381100099</v>
      </c>
      <c r="J155" s="34">
        <v>123.833798398764</v>
      </c>
      <c r="K155" s="34">
        <v>122.83184794843</v>
      </c>
      <c r="L155" s="34">
        <v>123.585785010481</v>
      </c>
      <c r="M155" s="68">
        <v>125.378931507251</v>
      </c>
      <c r="N155" s="21"/>
      <c r="O155" s="21"/>
      <c r="P155" s="21"/>
      <c r="Q155" s="52" t="str">
        <f t="shared" si="2"/>
        <v/>
      </c>
    </row>
    <row r="156" spans="1:17" x14ac:dyDescent="0.3">
      <c r="A156" s="40"/>
      <c r="B156" s="57"/>
      <c r="C156" s="46" t="s">
        <v>716</v>
      </c>
      <c r="D156" s="22" t="s">
        <v>716</v>
      </c>
      <c r="E156" s="34"/>
      <c r="F156" s="34"/>
      <c r="G156" s="34"/>
      <c r="H156" s="35"/>
      <c r="I156" s="35"/>
      <c r="J156" s="34"/>
      <c r="K156" s="34"/>
      <c r="L156" s="34"/>
      <c r="M156" s="68"/>
      <c r="N156" s="21"/>
      <c r="O156" s="21"/>
      <c r="P156" s="21"/>
      <c r="Q156" s="52" t="str">
        <f t="shared" si="2"/>
        <v/>
      </c>
    </row>
    <row r="157" spans="1:17" x14ac:dyDescent="0.3">
      <c r="A157" s="40" t="s">
        <v>67</v>
      </c>
      <c r="B157" s="57" t="s">
        <v>459</v>
      </c>
      <c r="C157" s="46">
        <v>5.8937327228454643</v>
      </c>
      <c r="D157" s="22">
        <v>120.5710855788799</v>
      </c>
      <c r="E157" s="34">
        <v>121.476984613599</v>
      </c>
      <c r="F157" s="34">
        <v>121.867115323714</v>
      </c>
      <c r="G157" s="34">
        <v>124.411164434144</v>
      </c>
      <c r="H157" s="35">
        <v>125.00291835345899</v>
      </c>
      <c r="I157" s="35">
        <v>125.135324320987</v>
      </c>
      <c r="J157" s="34">
        <v>125.135324320987</v>
      </c>
      <c r="K157" s="34">
        <v>125.798276063648</v>
      </c>
      <c r="L157" s="34">
        <v>124.989328694032</v>
      </c>
      <c r="M157" s="68">
        <v>125.60492425445899</v>
      </c>
      <c r="N157" s="21"/>
      <c r="O157" s="21"/>
      <c r="P157" s="21"/>
      <c r="Q157" s="52" t="str">
        <f t="shared" si="2"/>
        <v/>
      </c>
    </row>
    <row r="158" spans="1:17" x14ac:dyDescent="0.3">
      <c r="A158" s="40"/>
      <c r="B158" s="57"/>
      <c r="C158" s="46" t="s">
        <v>716</v>
      </c>
      <c r="D158" s="22" t="s">
        <v>716</v>
      </c>
      <c r="E158" s="34"/>
      <c r="F158" s="34"/>
      <c r="G158" s="34"/>
      <c r="H158" s="35"/>
      <c r="I158" s="35"/>
      <c r="J158" s="34"/>
      <c r="K158" s="34"/>
      <c r="L158" s="34"/>
      <c r="M158" s="68"/>
      <c r="N158" s="21"/>
      <c r="O158" s="21"/>
      <c r="P158" s="21"/>
      <c r="Q158" s="52" t="str">
        <f t="shared" si="2"/>
        <v/>
      </c>
    </row>
    <row r="159" spans="1:17" x14ac:dyDescent="0.3">
      <c r="A159" s="40" t="s">
        <v>68</v>
      </c>
      <c r="B159" s="57" t="s">
        <v>460</v>
      </c>
      <c r="C159" s="46">
        <v>9.297627714610659</v>
      </c>
      <c r="D159" s="22">
        <v>120.23699648201541</v>
      </c>
      <c r="E159" s="34">
        <v>120.934409643172</v>
      </c>
      <c r="F159" s="34">
        <v>121.514905865835</v>
      </c>
      <c r="G159" s="34">
        <v>123.12863225452401</v>
      </c>
      <c r="H159" s="35">
        <v>123.743029388794</v>
      </c>
      <c r="I159" s="35">
        <v>124.00372948583301</v>
      </c>
      <c r="J159" s="34">
        <v>124.054656365561</v>
      </c>
      <c r="K159" s="34">
        <v>124.11002702548799</v>
      </c>
      <c r="L159" s="34">
        <v>123.87233793681099</v>
      </c>
      <c r="M159" s="68">
        <v>124.912391945941</v>
      </c>
      <c r="N159" s="21"/>
      <c r="O159" s="21"/>
      <c r="P159" s="21"/>
      <c r="Q159" s="52" t="str">
        <f t="shared" si="2"/>
        <v/>
      </c>
    </row>
    <row r="160" spans="1:17" x14ac:dyDescent="0.3">
      <c r="A160" s="40"/>
      <c r="B160" s="57"/>
      <c r="C160" s="46" t="s">
        <v>716</v>
      </c>
      <c r="D160" s="22" t="s">
        <v>716</v>
      </c>
      <c r="E160" s="34"/>
      <c r="F160" s="34"/>
      <c r="G160" s="34"/>
      <c r="H160" s="35"/>
      <c r="I160" s="35"/>
      <c r="J160" s="34"/>
      <c r="K160" s="34"/>
      <c r="L160" s="34"/>
      <c r="M160" s="68"/>
      <c r="N160" s="21"/>
      <c r="O160" s="21"/>
      <c r="P160" s="21"/>
      <c r="Q160" s="52" t="str">
        <f t="shared" si="2"/>
        <v/>
      </c>
    </row>
    <row r="161" spans="1:17" x14ac:dyDescent="0.3">
      <c r="A161" s="40" t="s">
        <v>253</v>
      </c>
      <c r="B161" s="57" t="s">
        <v>461</v>
      </c>
      <c r="C161" s="46">
        <v>6.6115187876332975</v>
      </c>
      <c r="D161" s="22">
        <v>101.48611397976036</v>
      </c>
      <c r="E161" s="34">
        <v>110.92701987434501</v>
      </c>
      <c r="F161" s="34">
        <v>113.173299551318</v>
      </c>
      <c r="G161" s="34">
        <v>113.310515124321</v>
      </c>
      <c r="H161" s="35">
        <v>113.310515124321</v>
      </c>
      <c r="I161" s="35">
        <v>113.310515124321</v>
      </c>
      <c r="J161" s="34">
        <v>113.310515124321</v>
      </c>
      <c r="K161" s="34">
        <v>113.310515124321</v>
      </c>
      <c r="L161" s="34">
        <v>113.310515124321</v>
      </c>
      <c r="M161" s="68">
        <v>113.31262613313601</v>
      </c>
      <c r="N161" s="21"/>
      <c r="O161" s="21"/>
      <c r="P161" s="21"/>
      <c r="Q161" s="52" t="str">
        <f t="shared" si="2"/>
        <v/>
      </c>
    </row>
    <row r="162" spans="1:17" x14ac:dyDescent="0.3">
      <c r="A162" s="40"/>
      <c r="B162" s="57"/>
      <c r="C162" s="46" t="s">
        <v>716</v>
      </c>
      <c r="D162" s="22" t="s">
        <v>716</v>
      </c>
      <c r="E162" s="34"/>
      <c r="F162" s="34"/>
      <c r="G162" s="34"/>
      <c r="H162" s="35"/>
      <c r="I162" s="35"/>
      <c r="J162" s="34"/>
      <c r="K162" s="34"/>
      <c r="L162" s="34"/>
      <c r="M162" s="68"/>
      <c r="N162" s="21"/>
      <c r="O162" s="21"/>
      <c r="P162" s="21"/>
      <c r="Q162" s="52" t="str">
        <f t="shared" si="2"/>
        <v/>
      </c>
    </row>
    <row r="163" spans="1:17" x14ac:dyDescent="0.3">
      <c r="A163" s="40" t="s">
        <v>172</v>
      </c>
      <c r="B163" s="57" t="s">
        <v>462</v>
      </c>
      <c r="C163" s="46">
        <v>6.6115187876332975</v>
      </c>
      <c r="D163" s="22">
        <v>101.48611397976036</v>
      </c>
      <c r="E163" s="34">
        <v>110.92701987434501</v>
      </c>
      <c r="F163" s="34">
        <v>113.173299551318</v>
      </c>
      <c r="G163" s="34">
        <v>113.310515124321</v>
      </c>
      <c r="H163" s="35">
        <v>113.310515124321</v>
      </c>
      <c r="I163" s="35">
        <v>113.310515124321</v>
      </c>
      <c r="J163" s="34">
        <v>113.310515124321</v>
      </c>
      <c r="K163" s="34">
        <v>113.310515124321</v>
      </c>
      <c r="L163" s="34">
        <v>113.310515124321</v>
      </c>
      <c r="M163" s="68">
        <v>113.31262613313601</v>
      </c>
      <c r="N163" s="21"/>
      <c r="O163" s="21"/>
      <c r="P163" s="21"/>
      <c r="Q163" s="52" t="str">
        <f t="shared" si="2"/>
        <v/>
      </c>
    </row>
    <row r="164" spans="1:17" x14ac:dyDescent="0.3">
      <c r="A164" s="40"/>
      <c r="B164" s="57"/>
      <c r="C164" s="46" t="s">
        <v>716</v>
      </c>
      <c r="D164" s="22" t="s">
        <v>716</v>
      </c>
      <c r="E164" s="34"/>
      <c r="F164" s="34"/>
      <c r="G164" s="34"/>
      <c r="H164" s="35"/>
      <c r="I164" s="35"/>
      <c r="J164" s="34"/>
      <c r="K164" s="34"/>
      <c r="L164" s="34"/>
      <c r="M164" s="68"/>
      <c r="N164" s="21"/>
      <c r="O164" s="21"/>
      <c r="P164" s="21"/>
      <c r="Q164" s="52" t="str">
        <f t="shared" si="2"/>
        <v/>
      </c>
    </row>
    <row r="165" spans="1:17" x14ac:dyDescent="0.3">
      <c r="A165" s="40" t="s">
        <v>69</v>
      </c>
      <c r="B165" s="57" t="s">
        <v>463</v>
      </c>
      <c r="C165" s="46">
        <v>6.2538318179270629</v>
      </c>
      <c r="D165" s="22">
        <v>101.62806156496428</v>
      </c>
      <c r="E165" s="34">
        <v>103.907388144932</v>
      </c>
      <c r="F165" s="34">
        <v>103.907388144932</v>
      </c>
      <c r="G165" s="34">
        <v>102.81767137917601</v>
      </c>
      <c r="H165" s="35">
        <v>102.81767137917601</v>
      </c>
      <c r="I165" s="35">
        <v>102.81767137917601</v>
      </c>
      <c r="J165" s="34">
        <v>102.81767137917601</v>
      </c>
      <c r="K165" s="34">
        <v>102.81767137917601</v>
      </c>
      <c r="L165" s="34">
        <v>102.884542507649</v>
      </c>
      <c r="M165" s="68">
        <v>102.884542507649</v>
      </c>
      <c r="N165" s="21"/>
      <c r="O165" s="21"/>
      <c r="P165" s="21"/>
      <c r="Q165" s="52" t="str">
        <f t="shared" si="2"/>
        <v/>
      </c>
    </row>
    <row r="166" spans="1:17" x14ac:dyDescent="0.3">
      <c r="A166" s="40"/>
      <c r="B166" s="57"/>
      <c r="C166" s="46" t="s">
        <v>716</v>
      </c>
      <c r="D166" s="22" t="s">
        <v>716</v>
      </c>
      <c r="E166" s="34"/>
      <c r="F166" s="34"/>
      <c r="G166" s="34"/>
      <c r="H166" s="35"/>
      <c r="I166" s="35"/>
      <c r="J166" s="34"/>
      <c r="K166" s="34"/>
      <c r="L166" s="34"/>
      <c r="M166" s="68"/>
      <c r="N166" s="21"/>
      <c r="O166" s="21"/>
      <c r="P166" s="21"/>
      <c r="Q166" s="52" t="str">
        <f t="shared" si="2"/>
        <v/>
      </c>
    </row>
    <row r="167" spans="1:17" x14ac:dyDescent="0.3">
      <c r="A167" s="40" t="s">
        <v>254</v>
      </c>
      <c r="B167" s="57" t="s">
        <v>464</v>
      </c>
      <c r="C167" s="46">
        <v>2.4021089020813013</v>
      </c>
      <c r="D167" s="22">
        <v>101.48611397976032</v>
      </c>
      <c r="E167" s="34">
        <v>110.92701987434501</v>
      </c>
      <c r="F167" s="34">
        <v>113.173219417521</v>
      </c>
      <c r="G167" s="34">
        <v>113.30902728082199</v>
      </c>
      <c r="H167" s="35">
        <v>113.30902728082199</v>
      </c>
      <c r="I167" s="35">
        <v>113.30902728082199</v>
      </c>
      <c r="J167" s="34">
        <v>113.30902728082199</v>
      </c>
      <c r="K167" s="34">
        <v>113.30902728082199</v>
      </c>
      <c r="L167" s="34">
        <v>113.30902728082199</v>
      </c>
      <c r="M167" s="68">
        <v>113.30902728082199</v>
      </c>
      <c r="N167" s="21"/>
      <c r="O167" s="21"/>
      <c r="P167" s="21"/>
      <c r="Q167" s="52" t="str">
        <f t="shared" si="2"/>
        <v/>
      </c>
    </row>
    <row r="168" spans="1:17" x14ac:dyDescent="0.3">
      <c r="A168" s="40"/>
      <c r="B168" s="57"/>
      <c r="C168" s="46" t="s">
        <v>716</v>
      </c>
      <c r="D168" s="22" t="s">
        <v>716</v>
      </c>
      <c r="E168" s="34"/>
      <c r="F168" s="34"/>
      <c r="G168" s="34"/>
      <c r="H168" s="35"/>
      <c r="I168" s="35"/>
      <c r="J168" s="34"/>
      <c r="K168" s="34"/>
      <c r="L168" s="34"/>
      <c r="M168" s="68"/>
      <c r="N168" s="21"/>
      <c r="O168" s="21"/>
      <c r="P168" s="21"/>
      <c r="Q168" s="52" t="str">
        <f t="shared" si="2"/>
        <v/>
      </c>
    </row>
    <row r="169" spans="1:17" x14ac:dyDescent="0.3">
      <c r="A169" s="40" t="s">
        <v>173</v>
      </c>
      <c r="B169" s="57" t="s">
        <v>465</v>
      </c>
      <c r="C169" s="46">
        <v>2.4021089020813013</v>
      </c>
      <c r="D169" s="22">
        <v>101.48611397976032</v>
      </c>
      <c r="E169" s="34">
        <v>110.92701987434501</v>
      </c>
      <c r="F169" s="34">
        <v>113.173219417521</v>
      </c>
      <c r="G169" s="34">
        <v>113.30902728082199</v>
      </c>
      <c r="H169" s="35">
        <v>113.30902728082199</v>
      </c>
      <c r="I169" s="35">
        <v>113.30902728082199</v>
      </c>
      <c r="J169" s="34">
        <v>113.30902728082199</v>
      </c>
      <c r="K169" s="34">
        <v>113.30902728082199</v>
      </c>
      <c r="L169" s="34">
        <v>113.30902728082199</v>
      </c>
      <c r="M169" s="68">
        <v>113.30902728082199</v>
      </c>
      <c r="N169" s="21"/>
      <c r="O169" s="21"/>
      <c r="P169" s="21"/>
      <c r="Q169" s="52" t="str">
        <f t="shared" si="2"/>
        <v/>
      </c>
    </row>
    <row r="170" spans="1:17" x14ac:dyDescent="0.3">
      <c r="A170" s="40"/>
      <c r="B170" s="57"/>
      <c r="C170" s="46" t="s">
        <v>716</v>
      </c>
      <c r="D170" s="22" t="s">
        <v>716</v>
      </c>
      <c r="E170" s="34"/>
      <c r="F170" s="34"/>
      <c r="G170" s="34"/>
      <c r="H170" s="35"/>
      <c r="I170" s="35"/>
      <c r="J170" s="34"/>
      <c r="K170" s="34"/>
      <c r="L170" s="34"/>
      <c r="M170" s="68"/>
      <c r="N170" s="21"/>
      <c r="O170" s="21"/>
      <c r="P170" s="21"/>
      <c r="Q170" s="52" t="str">
        <f t="shared" si="2"/>
        <v/>
      </c>
    </row>
    <row r="171" spans="1:17" x14ac:dyDescent="0.3">
      <c r="A171" s="40" t="s">
        <v>174</v>
      </c>
      <c r="B171" s="57" t="s">
        <v>466</v>
      </c>
      <c r="C171" s="46">
        <v>8.7719441332704644</v>
      </c>
      <c r="D171" s="22">
        <v>107.50288782479473</v>
      </c>
      <c r="E171" s="34">
        <v>107.519003495772</v>
      </c>
      <c r="F171" s="34">
        <v>107.716124275875</v>
      </c>
      <c r="G171" s="34">
        <v>109.481523918535</v>
      </c>
      <c r="H171" s="35">
        <v>109.51168696044699</v>
      </c>
      <c r="I171" s="35">
        <v>109.564862578103</v>
      </c>
      <c r="J171" s="34">
        <v>109.572294748231</v>
      </c>
      <c r="K171" s="34">
        <v>109.604419476104</v>
      </c>
      <c r="L171" s="34">
        <v>109.94330621867</v>
      </c>
      <c r="M171" s="68">
        <v>110.190914311846</v>
      </c>
      <c r="N171" s="21"/>
      <c r="O171" s="21"/>
      <c r="P171" s="21"/>
      <c r="Q171" s="52" t="str">
        <f t="shared" si="2"/>
        <v/>
      </c>
    </row>
    <row r="172" spans="1:17" x14ac:dyDescent="0.3">
      <c r="A172" s="40"/>
      <c r="B172" s="57"/>
      <c r="C172" s="46" t="s">
        <v>716</v>
      </c>
      <c r="D172" s="22" t="s">
        <v>716</v>
      </c>
      <c r="E172" s="34"/>
      <c r="F172" s="34"/>
      <c r="G172" s="34"/>
      <c r="H172" s="35"/>
      <c r="I172" s="35"/>
      <c r="J172" s="34"/>
      <c r="K172" s="34"/>
      <c r="L172" s="34"/>
      <c r="M172" s="68"/>
      <c r="N172" s="21"/>
      <c r="O172" s="21"/>
      <c r="P172" s="21"/>
      <c r="Q172" s="52" t="str">
        <f t="shared" si="2"/>
        <v/>
      </c>
    </row>
    <row r="173" spans="1:17" x14ac:dyDescent="0.3">
      <c r="A173" s="40" t="s">
        <v>70</v>
      </c>
      <c r="B173" s="57" t="s">
        <v>467</v>
      </c>
      <c r="C173" s="46">
        <v>8.7719441332704644</v>
      </c>
      <c r="D173" s="22">
        <v>107.50288782479473</v>
      </c>
      <c r="E173" s="34">
        <v>107.519003495772</v>
      </c>
      <c r="F173" s="34">
        <v>107.716124275875</v>
      </c>
      <c r="G173" s="34">
        <v>109.481523918535</v>
      </c>
      <c r="H173" s="35">
        <v>109.51168696044699</v>
      </c>
      <c r="I173" s="35">
        <v>109.564862578103</v>
      </c>
      <c r="J173" s="34">
        <v>109.572294748231</v>
      </c>
      <c r="K173" s="34">
        <v>109.604419476104</v>
      </c>
      <c r="L173" s="34">
        <v>109.94330621867</v>
      </c>
      <c r="M173" s="68">
        <v>110.190914311846</v>
      </c>
      <c r="N173" s="21"/>
      <c r="O173" s="21"/>
      <c r="P173" s="21"/>
      <c r="Q173" s="52" t="str">
        <f t="shared" si="2"/>
        <v/>
      </c>
    </row>
    <row r="174" spans="1:17" x14ac:dyDescent="0.3">
      <c r="A174" s="40"/>
      <c r="B174" s="57"/>
      <c r="C174" s="46" t="s">
        <v>716</v>
      </c>
      <c r="D174" s="22" t="s">
        <v>716</v>
      </c>
      <c r="E174" s="34"/>
      <c r="F174" s="34"/>
      <c r="G174" s="34"/>
      <c r="H174" s="35"/>
      <c r="I174" s="35"/>
      <c r="J174" s="34"/>
      <c r="K174" s="34"/>
      <c r="L174" s="34"/>
      <c r="M174" s="68"/>
      <c r="N174" s="21"/>
      <c r="O174" s="21"/>
      <c r="P174" s="21"/>
      <c r="Q174" s="52" t="str">
        <f t="shared" si="2"/>
        <v/>
      </c>
    </row>
    <row r="175" spans="1:17" x14ac:dyDescent="0.3">
      <c r="A175" s="40" t="s">
        <v>71</v>
      </c>
      <c r="B175" s="57" t="s">
        <v>468</v>
      </c>
      <c r="C175" s="46">
        <v>24.039403640912127</v>
      </c>
      <c r="D175" s="22">
        <v>103.42796068976615</v>
      </c>
      <c r="E175" s="34">
        <v>107.64470639221599</v>
      </c>
      <c r="F175" s="34">
        <v>108.572264035071</v>
      </c>
      <c r="G175" s="34">
        <v>108.955818214549</v>
      </c>
      <c r="H175" s="35">
        <v>108.966407462947</v>
      </c>
      <c r="I175" s="35">
        <v>108.985075667092</v>
      </c>
      <c r="J175" s="34">
        <v>108.98768485670401</v>
      </c>
      <c r="K175" s="34">
        <v>108.998962788292</v>
      </c>
      <c r="L175" s="34">
        <v>109.135639311617</v>
      </c>
      <c r="M175" s="68">
        <v>109.223158036523</v>
      </c>
      <c r="N175" s="21"/>
      <c r="O175" s="21"/>
      <c r="P175" s="21"/>
      <c r="Q175" s="52" t="str">
        <f t="shared" si="2"/>
        <v/>
      </c>
    </row>
    <row r="176" spans="1:17" x14ac:dyDescent="0.3">
      <c r="A176" s="40"/>
      <c r="B176" s="57"/>
      <c r="C176" s="46" t="s">
        <v>716</v>
      </c>
      <c r="D176" s="22" t="s">
        <v>716</v>
      </c>
      <c r="E176" s="34"/>
      <c r="F176" s="34"/>
      <c r="G176" s="34"/>
      <c r="H176" s="35"/>
      <c r="I176" s="35"/>
      <c r="J176" s="34"/>
      <c r="K176" s="34"/>
      <c r="L176" s="34"/>
      <c r="M176" s="68"/>
      <c r="N176" s="21"/>
      <c r="O176" s="21"/>
      <c r="P176" s="21"/>
      <c r="Q176" s="52" t="str">
        <f t="shared" si="2"/>
        <v/>
      </c>
    </row>
    <row r="177" spans="1:17" x14ac:dyDescent="0.3">
      <c r="A177" s="40" t="s">
        <v>72</v>
      </c>
      <c r="B177" s="57" t="s">
        <v>469</v>
      </c>
      <c r="C177" s="46">
        <v>42.725928780211156</v>
      </c>
      <c r="D177" s="22">
        <v>146.87592319234886</v>
      </c>
      <c r="E177" s="34">
        <v>143.071836781667</v>
      </c>
      <c r="F177" s="34">
        <v>144.65993416994399</v>
      </c>
      <c r="G177" s="34">
        <v>143.51712069000101</v>
      </c>
      <c r="H177" s="35">
        <v>146.33005625552499</v>
      </c>
      <c r="I177" s="35">
        <v>147.310467632437</v>
      </c>
      <c r="J177" s="34">
        <v>148.282716718811</v>
      </c>
      <c r="K177" s="34">
        <v>149.113099932436</v>
      </c>
      <c r="L177" s="34">
        <v>151.33488512143001</v>
      </c>
      <c r="M177" s="68">
        <v>158.93189635452401</v>
      </c>
      <c r="N177" s="21"/>
      <c r="O177" s="21"/>
      <c r="P177" s="21"/>
      <c r="Q177" s="52" t="str">
        <f t="shared" si="2"/>
        <v/>
      </c>
    </row>
    <row r="178" spans="1:17" x14ac:dyDescent="0.3">
      <c r="A178" s="40"/>
      <c r="B178" s="57"/>
      <c r="C178" s="46" t="s">
        <v>716</v>
      </c>
      <c r="D178" s="22" t="s">
        <v>716</v>
      </c>
      <c r="E178" s="34"/>
      <c r="F178" s="34"/>
      <c r="G178" s="34"/>
      <c r="H178" s="35"/>
      <c r="I178" s="35"/>
      <c r="J178" s="34"/>
      <c r="K178" s="34"/>
      <c r="L178" s="34"/>
      <c r="M178" s="68"/>
      <c r="N178" s="21"/>
      <c r="O178" s="21"/>
      <c r="P178" s="21"/>
      <c r="Q178" s="52" t="str">
        <f t="shared" si="2"/>
        <v/>
      </c>
    </row>
    <row r="179" spans="1:17" x14ac:dyDescent="0.3">
      <c r="A179" s="40" t="s">
        <v>73</v>
      </c>
      <c r="B179" s="57" t="s">
        <v>470</v>
      </c>
      <c r="C179" s="46">
        <v>4.8899761209199664</v>
      </c>
      <c r="D179" s="22">
        <v>154.200636687463</v>
      </c>
      <c r="E179" s="34">
        <v>143.96325641778199</v>
      </c>
      <c r="F179" s="34">
        <v>165.213672697611</v>
      </c>
      <c r="G179" s="34">
        <v>157.14628905978699</v>
      </c>
      <c r="H179" s="35">
        <v>219.17350081457499</v>
      </c>
      <c r="I179" s="35">
        <v>198.98542965454499</v>
      </c>
      <c r="J179" s="34">
        <v>204.71422017429899</v>
      </c>
      <c r="K179" s="34">
        <v>197.09270975721</v>
      </c>
      <c r="L179" s="34">
        <v>223.62138849052999</v>
      </c>
      <c r="M179" s="68">
        <v>243.70929781863501</v>
      </c>
      <c r="N179" s="21"/>
      <c r="O179" s="21"/>
      <c r="P179" s="21"/>
      <c r="Q179" s="52" t="str">
        <f t="shared" si="2"/>
        <v/>
      </c>
    </row>
    <row r="180" spans="1:17" x14ac:dyDescent="0.3">
      <c r="A180" s="40" t="s">
        <v>74</v>
      </c>
      <c r="B180" s="57" t="s">
        <v>471</v>
      </c>
      <c r="C180" s="46">
        <v>1.0071112901649943</v>
      </c>
      <c r="D180" s="22">
        <v>119.31364481620733</v>
      </c>
      <c r="E180" s="34">
        <v>120.20574077344401</v>
      </c>
      <c r="F180" s="34">
        <v>118.33620052968099</v>
      </c>
      <c r="G180" s="34">
        <v>121.098963138713</v>
      </c>
      <c r="H180" s="35">
        <v>122.55186835241</v>
      </c>
      <c r="I180" s="35">
        <v>122.472495086772</v>
      </c>
      <c r="J180" s="34">
        <v>119.550498734233</v>
      </c>
      <c r="K180" s="34">
        <v>115.72172405597</v>
      </c>
      <c r="L180" s="34">
        <v>120.480154608372</v>
      </c>
      <c r="M180" s="68">
        <v>121.22025704949</v>
      </c>
      <c r="N180" s="21"/>
      <c r="O180" s="21"/>
      <c r="P180" s="21"/>
      <c r="Q180" s="52" t="str">
        <f t="shared" si="2"/>
        <v/>
      </c>
    </row>
    <row r="181" spans="1:17" x14ac:dyDescent="0.3">
      <c r="A181" s="40"/>
      <c r="B181" s="57"/>
      <c r="C181" s="46" t="s">
        <v>716</v>
      </c>
      <c r="D181" s="22" t="s">
        <v>716</v>
      </c>
      <c r="E181" s="34"/>
      <c r="F181" s="34"/>
      <c r="G181" s="34"/>
      <c r="H181" s="35"/>
      <c r="I181" s="35"/>
      <c r="J181" s="34"/>
      <c r="K181" s="34"/>
      <c r="L181" s="34"/>
      <c r="M181" s="68"/>
      <c r="N181" s="21"/>
      <c r="O181" s="21"/>
      <c r="P181" s="21"/>
      <c r="Q181" s="52" t="str">
        <f t="shared" si="2"/>
        <v/>
      </c>
    </row>
    <row r="182" spans="1:17" x14ac:dyDescent="0.3">
      <c r="A182" s="40" t="s">
        <v>175</v>
      </c>
      <c r="B182" s="57" t="s">
        <v>472</v>
      </c>
      <c r="C182" s="46">
        <v>5.8970874110849607</v>
      </c>
      <c r="D182" s="22">
        <v>139.73513622741021</v>
      </c>
      <c r="E182" s="34">
        <v>132.220889449217</v>
      </c>
      <c r="F182" s="34">
        <v>147.81516346683901</v>
      </c>
      <c r="G182" s="34">
        <v>142.3056728537</v>
      </c>
      <c r="H182" s="35">
        <v>189.205389259589</v>
      </c>
      <c r="I182" s="35">
        <v>174.01958790600199</v>
      </c>
      <c r="J182" s="34">
        <v>177.739940479328</v>
      </c>
      <c r="K182" s="34">
        <v>171.247107853969</v>
      </c>
      <c r="L182" s="34">
        <v>192.13329926264501</v>
      </c>
      <c r="M182" s="68">
        <v>207.37598956178101</v>
      </c>
      <c r="N182" s="21"/>
      <c r="O182" s="21"/>
      <c r="P182" s="21"/>
      <c r="Q182" s="52" t="str">
        <f t="shared" si="2"/>
        <v/>
      </c>
    </row>
    <row r="183" spans="1:17" x14ac:dyDescent="0.3">
      <c r="A183" s="40"/>
      <c r="B183" s="57"/>
      <c r="C183" s="46" t="s">
        <v>716</v>
      </c>
      <c r="D183" s="22" t="s">
        <v>716</v>
      </c>
      <c r="E183" s="34"/>
      <c r="F183" s="34"/>
      <c r="G183" s="34"/>
      <c r="H183" s="35"/>
      <c r="I183" s="35"/>
      <c r="J183" s="34"/>
      <c r="K183" s="34"/>
      <c r="L183" s="34"/>
      <c r="M183" s="68"/>
      <c r="N183" s="21"/>
      <c r="O183" s="21"/>
      <c r="P183" s="21"/>
      <c r="Q183" s="52" t="str">
        <f t="shared" si="2"/>
        <v/>
      </c>
    </row>
    <row r="184" spans="1:17" x14ac:dyDescent="0.3">
      <c r="A184" s="40" t="s">
        <v>75</v>
      </c>
      <c r="B184" s="57" t="s">
        <v>473</v>
      </c>
      <c r="C184" s="46">
        <v>15.003901093110166</v>
      </c>
      <c r="D184" s="22">
        <v>137.7726404663785</v>
      </c>
      <c r="E184" s="34">
        <v>136.17448989848199</v>
      </c>
      <c r="F184" s="34">
        <v>140.034174288873</v>
      </c>
      <c r="G184" s="34">
        <v>182.008242034375</v>
      </c>
      <c r="H184" s="35">
        <v>214.936174489899</v>
      </c>
      <c r="I184" s="35">
        <v>214.936174489899</v>
      </c>
      <c r="J184" s="34">
        <v>214.936174489899</v>
      </c>
      <c r="K184" s="34">
        <v>214.936174489899</v>
      </c>
      <c r="L184" s="34">
        <v>214.936174489899</v>
      </c>
      <c r="M184" s="68">
        <v>214.936174489899</v>
      </c>
      <c r="N184" s="21"/>
      <c r="O184" s="21"/>
      <c r="P184" s="21"/>
      <c r="Q184" s="52" t="str">
        <f t="shared" si="2"/>
        <v/>
      </c>
    </row>
    <row r="185" spans="1:17" x14ac:dyDescent="0.3">
      <c r="A185" s="40"/>
      <c r="B185" s="57"/>
      <c r="C185" s="46" t="s">
        <v>716</v>
      </c>
      <c r="D185" s="22" t="s">
        <v>716</v>
      </c>
      <c r="E185" s="34"/>
      <c r="F185" s="34"/>
      <c r="G185" s="34"/>
      <c r="H185" s="35"/>
      <c r="I185" s="35"/>
      <c r="J185" s="34"/>
      <c r="K185" s="34"/>
      <c r="L185" s="34"/>
      <c r="M185" s="68"/>
      <c r="N185" s="21"/>
      <c r="O185" s="21"/>
      <c r="P185" s="21"/>
      <c r="Q185" s="52" t="str">
        <f t="shared" si="2"/>
        <v/>
      </c>
    </row>
    <row r="186" spans="1:17" x14ac:dyDescent="0.3">
      <c r="A186" s="40" t="s">
        <v>255</v>
      </c>
      <c r="B186" s="57" t="s">
        <v>474</v>
      </c>
      <c r="C186" s="46">
        <v>0.22804099480447093</v>
      </c>
      <c r="D186" s="22">
        <v>137.22107811809934</v>
      </c>
      <c r="E186" s="34">
        <v>137.221078118099</v>
      </c>
      <c r="F186" s="34">
        <v>134.14828540950799</v>
      </c>
      <c r="G186" s="34">
        <v>138.29669199956101</v>
      </c>
      <c r="H186" s="35">
        <v>133.257783724175</v>
      </c>
      <c r="I186" s="35">
        <v>135.76267067664</v>
      </c>
      <c r="J186" s="34">
        <v>137.889243205696</v>
      </c>
      <c r="K186" s="34">
        <v>139.60719069771699</v>
      </c>
      <c r="L186" s="34">
        <v>136.246730814774</v>
      </c>
      <c r="M186" s="68">
        <v>139.87847632269899</v>
      </c>
      <c r="N186" s="21"/>
      <c r="O186" s="21"/>
      <c r="P186" s="21"/>
      <c r="Q186" s="52" t="str">
        <f t="shared" si="2"/>
        <v/>
      </c>
    </row>
    <row r="187" spans="1:17" x14ac:dyDescent="0.3">
      <c r="A187" s="40" t="s">
        <v>256</v>
      </c>
      <c r="B187" s="57" t="s">
        <v>475</v>
      </c>
      <c r="C187" s="46">
        <v>4.4756024007099002</v>
      </c>
      <c r="D187" s="22">
        <v>130.18398308352064</v>
      </c>
      <c r="E187" s="34">
        <v>130.717174204419</v>
      </c>
      <c r="F187" s="34">
        <v>130.717174204419</v>
      </c>
      <c r="G187" s="34">
        <v>130.90231126022499</v>
      </c>
      <c r="H187" s="35">
        <v>131.399101325408</v>
      </c>
      <c r="I187" s="35">
        <v>131.399101325408</v>
      </c>
      <c r="J187" s="34">
        <v>131.62310393966899</v>
      </c>
      <c r="K187" s="34">
        <v>134.37444088032399</v>
      </c>
      <c r="L187" s="34">
        <v>134.37444088032399</v>
      </c>
      <c r="M187" s="68">
        <v>138.50944313665099</v>
      </c>
      <c r="N187" s="21"/>
      <c r="O187" s="21"/>
      <c r="P187" s="21"/>
      <c r="Q187" s="52" t="str">
        <f t="shared" si="2"/>
        <v/>
      </c>
    </row>
    <row r="188" spans="1:17" x14ac:dyDescent="0.3">
      <c r="A188" s="40"/>
      <c r="B188" s="57"/>
      <c r="C188" s="46" t="s">
        <v>716</v>
      </c>
      <c r="D188" s="22" t="s">
        <v>716</v>
      </c>
      <c r="E188" s="34"/>
      <c r="F188" s="34"/>
      <c r="G188" s="34"/>
      <c r="H188" s="35"/>
      <c r="I188" s="35"/>
      <c r="J188" s="34"/>
      <c r="K188" s="34"/>
      <c r="L188" s="34"/>
      <c r="M188" s="68"/>
      <c r="N188" s="21"/>
      <c r="O188" s="21"/>
      <c r="P188" s="21"/>
      <c r="Q188" s="52" t="str">
        <f t="shared" si="2"/>
        <v/>
      </c>
    </row>
    <row r="189" spans="1:17" x14ac:dyDescent="0.3">
      <c r="A189" s="40" t="s">
        <v>76</v>
      </c>
      <c r="B189" s="57" t="s">
        <v>476</v>
      </c>
      <c r="C189" s="46">
        <v>4.7036433955143711</v>
      </c>
      <c r="D189" s="22">
        <v>132.32919158765995</v>
      </c>
      <c r="E189" s="34">
        <v>132.84489276465499</v>
      </c>
      <c r="F189" s="34">
        <v>132.70122920130501</v>
      </c>
      <c r="G189" s="34">
        <v>133.07424550817399</v>
      </c>
      <c r="H189" s="35">
        <v>133.31915348394699</v>
      </c>
      <c r="I189" s="35">
        <v>133.43626551183399</v>
      </c>
      <c r="J189" s="34">
        <v>133.75234483998099</v>
      </c>
      <c r="K189" s="34">
        <v>136.49375126709199</v>
      </c>
      <c r="L189" s="34">
        <v>136.33663827996099</v>
      </c>
      <c r="M189" s="68">
        <v>140.50579909081401</v>
      </c>
      <c r="N189" s="21"/>
      <c r="O189" s="21"/>
      <c r="P189" s="21"/>
      <c r="Q189" s="52" t="str">
        <f t="shared" si="2"/>
        <v/>
      </c>
    </row>
    <row r="190" spans="1:17" x14ac:dyDescent="0.3">
      <c r="A190" s="40"/>
      <c r="B190" s="57"/>
      <c r="C190" s="46" t="s">
        <v>716</v>
      </c>
      <c r="D190" s="22" t="s">
        <v>716</v>
      </c>
      <c r="E190" s="34"/>
      <c r="F190" s="34"/>
      <c r="G190" s="34"/>
      <c r="H190" s="35"/>
      <c r="I190" s="35"/>
      <c r="J190" s="34"/>
      <c r="K190" s="34"/>
      <c r="L190" s="34"/>
      <c r="M190" s="68"/>
      <c r="N190" s="21"/>
      <c r="O190" s="21"/>
      <c r="P190" s="21"/>
      <c r="Q190" s="52" t="str">
        <f t="shared" si="2"/>
        <v/>
      </c>
    </row>
    <row r="191" spans="1:17" x14ac:dyDescent="0.3">
      <c r="A191" s="40" t="s">
        <v>77</v>
      </c>
      <c r="B191" s="57" t="s">
        <v>477</v>
      </c>
      <c r="C191" s="46">
        <v>68.330560679920652</v>
      </c>
      <c r="D191" s="22">
        <v>140.88626014744585</v>
      </c>
      <c r="E191" s="34">
        <v>137.62973728791599</v>
      </c>
      <c r="F191" s="34">
        <v>140.79528813595701</v>
      </c>
      <c r="G191" s="34">
        <v>149.08266817441299</v>
      </c>
      <c r="H191" s="35">
        <v>162.262325710548</v>
      </c>
      <c r="I191" s="35">
        <v>161.53757666995901</v>
      </c>
      <c r="J191" s="34">
        <v>162.46760061088099</v>
      </c>
      <c r="K191" s="34">
        <v>162.60160004269201</v>
      </c>
      <c r="L191" s="34">
        <v>165.74005206386599</v>
      </c>
      <c r="M191" s="68">
        <v>171.92848030182799</v>
      </c>
      <c r="N191" s="21"/>
      <c r="O191" s="21"/>
      <c r="P191" s="21"/>
      <c r="Q191" s="52" t="str">
        <f t="shared" si="2"/>
        <v/>
      </c>
    </row>
    <row r="192" spans="1:17" x14ac:dyDescent="0.3">
      <c r="A192" s="40"/>
      <c r="B192" s="57"/>
      <c r="C192" s="46" t="s">
        <v>716</v>
      </c>
      <c r="D192" s="22" t="s">
        <v>716</v>
      </c>
      <c r="E192" s="34"/>
      <c r="F192" s="34"/>
      <c r="G192" s="34"/>
      <c r="H192" s="35"/>
      <c r="I192" s="35"/>
      <c r="J192" s="34"/>
      <c r="K192" s="34"/>
      <c r="L192" s="34"/>
      <c r="M192" s="68"/>
      <c r="N192" s="21"/>
      <c r="O192" s="21"/>
      <c r="P192" s="21"/>
      <c r="Q192" s="52" t="str">
        <f t="shared" si="2"/>
        <v/>
      </c>
    </row>
    <row r="193" spans="1:17" x14ac:dyDescent="0.3">
      <c r="A193" s="40" t="s">
        <v>78</v>
      </c>
      <c r="B193" s="57" t="s">
        <v>478</v>
      </c>
      <c r="C193" s="46">
        <v>148.31122774396044</v>
      </c>
      <c r="D193" s="22">
        <v>128.33335284614648</v>
      </c>
      <c r="E193" s="34">
        <v>128.233073311498</v>
      </c>
      <c r="F193" s="34">
        <v>129.97025781699901</v>
      </c>
      <c r="G193" s="34">
        <v>133.687337981741</v>
      </c>
      <c r="H193" s="35">
        <v>139.52246498483501</v>
      </c>
      <c r="I193" s="35">
        <v>139.48152690115299</v>
      </c>
      <c r="J193" s="34">
        <v>140.020919008232</v>
      </c>
      <c r="K193" s="34">
        <v>140.21630406402701</v>
      </c>
      <c r="L193" s="34">
        <v>141.52831392354099</v>
      </c>
      <c r="M193" s="68">
        <v>144.29859999669901</v>
      </c>
      <c r="N193" s="21"/>
      <c r="O193" s="21"/>
      <c r="P193" s="21"/>
      <c r="Q193" s="52" t="str">
        <f t="shared" si="2"/>
        <v/>
      </c>
    </row>
    <row r="194" spans="1:17" x14ac:dyDescent="0.3">
      <c r="A194" s="41"/>
      <c r="B194" s="57"/>
      <c r="C194" s="46" t="s">
        <v>716</v>
      </c>
      <c r="D194" s="22"/>
      <c r="E194" s="34"/>
      <c r="F194" s="34"/>
      <c r="G194" s="34"/>
      <c r="H194" s="35"/>
      <c r="I194" s="35"/>
      <c r="J194" s="34"/>
      <c r="K194" s="34"/>
      <c r="L194" s="34"/>
      <c r="M194" s="68"/>
      <c r="N194" s="21"/>
      <c r="O194" s="21"/>
      <c r="P194" s="21"/>
      <c r="Q194" s="52" t="str">
        <f t="shared" si="2"/>
        <v/>
      </c>
    </row>
    <row r="195" spans="1:17" x14ac:dyDescent="0.3">
      <c r="B195" s="55" t="s">
        <v>479</v>
      </c>
      <c r="C195" s="46" t="s">
        <v>716</v>
      </c>
      <c r="D195" s="22"/>
      <c r="E195" s="34"/>
      <c r="F195" s="34"/>
      <c r="G195" s="34"/>
      <c r="H195" s="35"/>
      <c r="I195" s="35"/>
      <c r="J195" s="34"/>
      <c r="K195" s="34"/>
      <c r="L195" s="34"/>
      <c r="M195" s="68"/>
      <c r="N195" s="21"/>
      <c r="O195" s="21"/>
      <c r="P195" s="21"/>
      <c r="Q195" s="52" t="str">
        <f t="shared" si="2"/>
        <v/>
      </c>
    </row>
    <row r="196" spans="1:17" x14ac:dyDescent="0.3">
      <c r="A196" s="41"/>
      <c r="B196" s="57"/>
      <c r="C196" s="46" t="s">
        <v>716</v>
      </c>
      <c r="D196" s="22"/>
      <c r="E196" s="34"/>
      <c r="F196" s="34"/>
      <c r="G196" s="34"/>
      <c r="H196" s="35"/>
      <c r="I196" s="35"/>
      <c r="J196" s="34"/>
      <c r="K196" s="34"/>
      <c r="L196" s="34"/>
      <c r="M196" s="68"/>
      <c r="N196" s="21"/>
      <c r="O196" s="21"/>
      <c r="P196" s="21"/>
      <c r="Q196" s="52" t="str">
        <f t="shared" si="2"/>
        <v/>
      </c>
    </row>
    <row r="197" spans="1:17" x14ac:dyDescent="0.3">
      <c r="A197" s="40" t="s">
        <v>79</v>
      </c>
      <c r="B197" s="57" t="s">
        <v>480</v>
      </c>
      <c r="C197" s="46">
        <v>2.6103167789848132</v>
      </c>
      <c r="D197" s="22">
        <v>116.74927775861599</v>
      </c>
      <c r="E197" s="34">
        <v>113.736472662305</v>
      </c>
      <c r="F197" s="34">
        <v>111.946634088454</v>
      </c>
      <c r="G197" s="34">
        <v>115.545949775837</v>
      </c>
      <c r="H197" s="35">
        <v>113.645886449237</v>
      </c>
      <c r="I197" s="35">
        <v>116.175062054864</v>
      </c>
      <c r="J197" s="34">
        <v>116.390606328822</v>
      </c>
      <c r="K197" s="34">
        <v>112.26353018658</v>
      </c>
      <c r="L197" s="34">
        <v>110.969029188923</v>
      </c>
      <c r="M197" s="68">
        <v>111.21378796963999</v>
      </c>
      <c r="N197" s="21"/>
      <c r="O197" s="21"/>
      <c r="P197" s="21"/>
      <c r="Q197" s="52" t="str">
        <f t="shared" si="2"/>
        <v/>
      </c>
    </row>
    <row r="198" spans="1:17" x14ac:dyDescent="0.3">
      <c r="A198" s="40" t="s">
        <v>80</v>
      </c>
      <c r="B198" s="57" t="s">
        <v>481</v>
      </c>
      <c r="C198" s="46">
        <v>0.28839938967952811</v>
      </c>
      <c r="D198" s="22">
        <v>111.10357003388577</v>
      </c>
      <c r="E198" s="34">
        <v>111.280406700605</v>
      </c>
      <c r="F198" s="34">
        <v>111.469255828934</v>
      </c>
      <c r="G198" s="34">
        <v>112.32154484498901</v>
      </c>
      <c r="H198" s="35">
        <v>110.67806037443199</v>
      </c>
      <c r="I198" s="35">
        <v>112.17324010894001</v>
      </c>
      <c r="J198" s="34">
        <v>113.181074591656</v>
      </c>
      <c r="K198" s="34">
        <v>110.334421663166</v>
      </c>
      <c r="L198" s="34">
        <v>110.193419226285</v>
      </c>
      <c r="M198" s="68">
        <v>110.05398618327899</v>
      </c>
      <c r="N198" s="21"/>
      <c r="O198" s="21"/>
      <c r="P198" s="21"/>
      <c r="Q198" s="52" t="str">
        <f t="shared" si="2"/>
        <v/>
      </c>
    </row>
    <row r="199" spans="1:17" x14ac:dyDescent="0.3">
      <c r="A199" s="40" t="s">
        <v>176</v>
      </c>
      <c r="B199" s="57" t="s">
        <v>482</v>
      </c>
      <c r="C199" s="46">
        <v>0.13819776107977208</v>
      </c>
      <c r="D199" s="22">
        <v>107.80710608775061</v>
      </c>
      <c r="E199" s="34">
        <v>108.30157496189599</v>
      </c>
      <c r="F199" s="34">
        <v>108.062629344832</v>
      </c>
      <c r="G199" s="34">
        <v>108.686479929456</v>
      </c>
      <c r="H199" s="35">
        <v>108.71198262910499</v>
      </c>
      <c r="I199" s="35">
        <v>110.46810863170499</v>
      </c>
      <c r="J199" s="34">
        <v>109.127253235198</v>
      </c>
      <c r="K199" s="34">
        <v>109.04362622084101</v>
      </c>
      <c r="L199" s="34">
        <v>109.836815954982</v>
      </c>
      <c r="M199" s="68">
        <v>106.60723659519699</v>
      </c>
      <c r="N199" s="21"/>
      <c r="O199" s="21"/>
      <c r="P199" s="21"/>
      <c r="Q199" s="52" t="str">
        <f t="shared" si="2"/>
        <v/>
      </c>
    </row>
    <row r="200" spans="1:17" x14ac:dyDescent="0.3">
      <c r="A200" s="40" t="s">
        <v>257</v>
      </c>
      <c r="B200" s="57" t="s">
        <v>483</v>
      </c>
      <c r="C200" s="46">
        <v>0.55348262162120465</v>
      </c>
      <c r="D200" s="22">
        <v>110.176834810657</v>
      </c>
      <c r="E200" s="34">
        <v>104.31650291057301</v>
      </c>
      <c r="F200" s="34">
        <v>102.381959867128</v>
      </c>
      <c r="G200" s="34">
        <v>109.740628594494</v>
      </c>
      <c r="H200" s="35">
        <v>110.813663569738</v>
      </c>
      <c r="I200" s="35">
        <v>110.956251402585</v>
      </c>
      <c r="J200" s="34">
        <v>110.67854615255899</v>
      </c>
      <c r="K200" s="34">
        <v>105.665550402706</v>
      </c>
      <c r="L200" s="34">
        <v>104.27194350024899</v>
      </c>
      <c r="M200" s="68">
        <v>108.696310664053</v>
      </c>
      <c r="N200" s="21"/>
      <c r="O200" s="21"/>
      <c r="P200" s="21"/>
      <c r="Q200" s="52" t="str">
        <f t="shared" ref="Q200:Q263" si="3">IF(P200="","",AVERAGE(E200:P200))</f>
        <v/>
      </c>
    </row>
    <row r="201" spans="1:17" x14ac:dyDescent="0.3">
      <c r="A201" s="40"/>
      <c r="B201" s="57"/>
      <c r="C201" s="46" t="s">
        <v>716</v>
      </c>
      <c r="D201" s="22" t="s">
        <v>716</v>
      </c>
      <c r="E201" s="34"/>
      <c r="F201" s="34"/>
      <c r="G201" s="34"/>
      <c r="H201" s="35"/>
      <c r="I201" s="35"/>
      <c r="J201" s="34"/>
      <c r="K201" s="34"/>
      <c r="L201" s="34"/>
      <c r="M201" s="68"/>
      <c r="N201" s="21"/>
      <c r="O201" s="21"/>
      <c r="P201" s="21"/>
      <c r="Q201" s="52" t="str">
        <f t="shared" si="3"/>
        <v/>
      </c>
    </row>
    <row r="202" spans="1:17" x14ac:dyDescent="0.3">
      <c r="A202" s="40" t="s">
        <v>177</v>
      </c>
      <c r="B202" s="57" t="s">
        <v>484</v>
      </c>
      <c r="C202" s="46">
        <v>3.590396551365318</v>
      </c>
      <c r="D202" s="22">
        <v>115.10182485868087</v>
      </c>
      <c r="E202" s="34">
        <v>112.033586907273</v>
      </c>
      <c r="F202" s="34">
        <v>110.44503002502699</v>
      </c>
      <c r="G202" s="34">
        <v>114.306560698703</v>
      </c>
      <c r="H202" s="35">
        <v>112.981748965213</v>
      </c>
      <c r="I202" s="35">
        <v>115.01413671205999</v>
      </c>
      <c r="J202" s="34">
        <v>115.15267313563299</v>
      </c>
      <c r="K202" s="34">
        <v>111.146862823649</v>
      </c>
      <c r="L202" s="34">
        <v>110.015431690304</v>
      </c>
      <c r="M202" s="68">
        <v>110.759075526473</v>
      </c>
      <c r="N202" s="21"/>
      <c r="O202" s="21"/>
      <c r="P202" s="21"/>
      <c r="Q202" s="52" t="str">
        <f t="shared" si="3"/>
        <v/>
      </c>
    </row>
    <row r="203" spans="1:17" x14ac:dyDescent="0.3">
      <c r="A203" s="40"/>
      <c r="B203" s="57"/>
      <c r="C203" s="46" t="s">
        <v>716</v>
      </c>
      <c r="D203" s="22" t="s">
        <v>716</v>
      </c>
      <c r="E203" s="34"/>
      <c r="F203" s="34"/>
      <c r="G203" s="34"/>
      <c r="H203" s="35"/>
      <c r="I203" s="35"/>
      <c r="J203" s="34"/>
      <c r="K203" s="34"/>
      <c r="L203" s="34"/>
      <c r="M203" s="68"/>
      <c r="N203" s="21"/>
      <c r="O203" s="21"/>
      <c r="P203" s="21"/>
      <c r="Q203" s="52" t="str">
        <f t="shared" si="3"/>
        <v/>
      </c>
    </row>
    <row r="204" spans="1:17" x14ac:dyDescent="0.3">
      <c r="A204" s="40" t="s">
        <v>81</v>
      </c>
      <c r="B204" s="57" t="s">
        <v>485</v>
      </c>
      <c r="C204" s="46">
        <v>3.590396551365318</v>
      </c>
      <c r="D204" s="22">
        <v>115.10182485868087</v>
      </c>
      <c r="E204" s="34">
        <v>112.033586907273</v>
      </c>
      <c r="F204" s="34">
        <v>110.44503002502699</v>
      </c>
      <c r="G204" s="34">
        <v>114.306560698703</v>
      </c>
      <c r="H204" s="35">
        <v>112.981748965213</v>
      </c>
      <c r="I204" s="35">
        <v>115.01413671205999</v>
      </c>
      <c r="J204" s="34">
        <v>115.15267313563299</v>
      </c>
      <c r="K204" s="34">
        <v>111.146862823649</v>
      </c>
      <c r="L204" s="34">
        <v>110.015431690304</v>
      </c>
      <c r="M204" s="68">
        <v>110.759075526473</v>
      </c>
      <c r="N204" s="21"/>
      <c r="O204" s="21"/>
      <c r="P204" s="21"/>
      <c r="Q204" s="52" t="str">
        <f t="shared" si="3"/>
        <v/>
      </c>
    </row>
    <row r="205" spans="1:17" x14ac:dyDescent="0.3">
      <c r="A205" s="40"/>
      <c r="B205" s="57"/>
      <c r="C205" s="46" t="s">
        <v>716</v>
      </c>
      <c r="D205" s="22" t="s">
        <v>716</v>
      </c>
      <c r="E205" s="34"/>
      <c r="F205" s="34"/>
      <c r="G205" s="34"/>
      <c r="H205" s="35"/>
      <c r="I205" s="35"/>
      <c r="J205" s="34"/>
      <c r="K205" s="34"/>
      <c r="L205" s="34"/>
      <c r="M205" s="68"/>
      <c r="N205" s="21"/>
      <c r="O205" s="21"/>
      <c r="P205" s="21"/>
      <c r="Q205" s="52" t="str">
        <f t="shared" si="3"/>
        <v/>
      </c>
    </row>
    <row r="206" spans="1:17" x14ac:dyDescent="0.3">
      <c r="A206" s="40" t="s">
        <v>258</v>
      </c>
      <c r="B206" s="57" t="s">
        <v>486</v>
      </c>
      <c r="C206" s="46">
        <v>0.70402842183385972</v>
      </c>
      <c r="D206" s="22">
        <v>113.83191103421065</v>
      </c>
      <c r="E206" s="34">
        <v>109.854210370507</v>
      </c>
      <c r="F206" s="34">
        <v>112.423174348076</v>
      </c>
      <c r="G206" s="34">
        <v>121.06206948264401</v>
      </c>
      <c r="H206" s="35">
        <v>121.258693887519</v>
      </c>
      <c r="I206" s="35">
        <v>121.559601790926</v>
      </c>
      <c r="J206" s="34">
        <v>121.59553087086</v>
      </c>
      <c r="K206" s="34">
        <v>103.226456595333</v>
      </c>
      <c r="L206" s="34">
        <v>98.709756124689804</v>
      </c>
      <c r="M206" s="68">
        <v>120.599760271137</v>
      </c>
      <c r="N206" s="21"/>
      <c r="O206" s="21"/>
      <c r="P206" s="21"/>
      <c r="Q206" s="52" t="str">
        <f t="shared" si="3"/>
        <v/>
      </c>
    </row>
    <row r="207" spans="1:17" x14ac:dyDescent="0.3">
      <c r="A207" s="40" t="s">
        <v>259</v>
      </c>
      <c r="B207" s="57" t="s">
        <v>487</v>
      </c>
      <c r="C207" s="46">
        <v>1.0086347216484652</v>
      </c>
      <c r="D207" s="22">
        <v>89.628666636414778</v>
      </c>
      <c r="E207" s="34">
        <v>82.131353452318095</v>
      </c>
      <c r="F207" s="34">
        <v>81.975267946511494</v>
      </c>
      <c r="G207" s="34">
        <v>87.772389836471802</v>
      </c>
      <c r="H207" s="35">
        <v>88.821053375878407</v>
      </c>
      <c r="I207" s="35">
        <v>88.8536851237223</v>
      </c>
      <c r="J207" s="34">
        <v>88.824336344681697</v>
      </c>
      <c r="K207" s="34">
        <v>81.689859854306803</v>
      </c>
      <c r="L207" s="34">
        <v>79.949573844611294</v>
      </c>
      <c r="M207" s="68">
        <v>89.131261099442597</v>
      </c>
      <c r="N207" s="21"/>
      <c r="O207" s="21"/>
      <c r="P207" s="21"/>
      <c r="Q207" s="52" t="str">
        <f t="shared" si="3"/>
        <v/>
      </c>
    </row>
    <row r="208" spans="1:17" x14ac:dyDescent="0.3">
      <c r="A208" s="40" t="s">
        <v>260</v>
      </c>
      <c r="B208" s="57" t="s">
        <v>488</v>
      </c>
      <c r="C208" s="46">
        <v>0.60337188349938253</v>
      </c>
      <c r="D208" s="22">
        <v>96.093886399489946</v>
      </c>
      <c r="E208" s="34">
        <v>85.6403188712043</v>
      </c>
      <c r="F208" s="34">
        <v>84.331716446936397</v>
      </c>
      <c r="G208" s="34">
        <v>91.616702156432694</v>
      </c>
      <c r="H208" s="35">
        <v>92.524098698211105</v>
      </c>
      <c r="I208" s="35">
        <v>92.913280274471703</v>
      </c>
      <c r="J208" s="34">
        <v>91.976883019693304</v>
      </c>
      <c r="K208" s="34">
        <v>85.039636955147401</v>
      </c>
      <c r="L208" s="34">
        <v>80.643164258734998</v>
      </c>
      <c r="M208" s="68">
        <v>93.272315498765195</v>
      </c>
      <c r="N208" s="21"/>
      <c r="O208" s="21"/>
      <c r="P208" s="21"/>
      <c r="Q208" s="52" t="str">
        <f t="shared" si="3"/>
        <v/>
      </c>
    </row>
    <row r="209" spans="1:17" x14ac:dyDescent="0.3">
      <c r="A209" s="40" t="s">
        <v>261</v>
      </c>
      <c r="B209" s="57" t="s">
        <v>489</v>
      </c>
      <c r="C209" s="46">
        <v>0.40934815774268524</v>
      </c>
      <c r="D209" s="22">
        <v>92.15786405326368</v>
      </c>
      <c r="E209" s="34">
        <v>88.489190808597996</v>
      </c>
      <c r="F209" s="34">
        <v>86.847490540260196</v>
      </c>
      <c r="G209" s="34">
        <v>93.256882482504807</v>
      </c>
      <c r="H209" s="35">
        <v>93.038264825391096</v>
      </c>
      <c r="I209" s="35">
        <v>92.669460601401795</v>
      </c>
      <c r="J209" s="34">
        <v>92.992974458322706</v>
      </c>
      <c r="K209" s="34">
        <v>90.119668796357004</v>
      </c>
      <c r="L209" s="34">
        <v>89.608581489159306</v>
      </c>
      <c r="M209" s="68">
        <v>93.745343887458105</v>
      </c>
      <c r="N209" s="21"/>
      <c r="O209" s="21"/>
      <c r="P209" s="21"/>
      <c r="Q209" s="52" t="str">
        <f t="shared" si="3"/>
        <v/>
      </c>
    </row>
    <row r="210" spans="1:17" x14ac:dyDescent="0.3">
      <c r="A210" s="40"/>
      <c r="B210" s="57"/>
      <c r="C210" s="46" t="s">
        <v>716</v>
      </c>
      <c r="D210" s="22" t="s">
        <v>716</v>
      </c>
      <c r="E210" s="34"/>
      <c r="F210" s="34"/>
      <c r="G210" s="34"/>
      <c r="H210" s="35"/>
      <c r="I210" s="35"/>
      <c r="J210" s="34"/>
      <c r="K210" s="34"/>
      <c r="L210" s="34"/>
      <c r="M210" s="68"/>
      <c r="N210" s="21"/>
      <c r="O210" s="21"/>
      <c r="P210" s="21"/>
      <c r="Q210" s="52" t="str">
        <f t="shared" si="3"/>
        <v/>
      </c>
    </row>
    <row r="211" spans="1:17" x14ac:dyDescent="0.3">
      <c r="A211" s="40" t="s">
        <v>262</v>
      </c>
      <c r="B211" s="57" t="s">
        <v>490</v>
      </c>
      <c r="C211" s="46">
        <v>2.7253831847243926</v>
      </c>
      <c r="D211" s="22">
        <v>97.193012963230842</v>
      </c>
      <c r="E211" s="34">
        <v>90.3849116559864</v>
      </c>
      <c r="F211" s="34">
        <v>90.335812739142497</v>
      </c>
      <c r="G211" s="34">
        <v>97.214304259230303</v>
      </c>
      <c r="H211" s="35">
        <v>97.847081617751797</v>
      </c>
      <c r="I211" s="35">
        <v>97.955272818758601</v>
      </c>
      <c r="J211" s="34">
        <v>97.792985253640694</v>
      </c>
      <c r="K211" s="34">
        <v>88.869658793136097</v>
      </c>
      <c r="L211" s="34">
        <v>86.109596488134898</v>
      </c>
      <c r="M211" s="68">
        <v>98.105785342405099</v>
      </c>
      <c r="N211" s="21"/>
      <c r="O211" s="21"/>
      <c r="P211" s="21"/>
      <c r="Q211" s="52" t="str">
        <f t="shared" si="3"/>
        <v/>
      </c>
    </row>
    <row r="212" spans="1:17" x14ac:dyDescent="0.3">
      <c r="A212" s="40"/>
      <c r="B212" s="57"/>
      <c r="C212" s="46" t="s">
        <v>716</v>
      </c>
      <c r="D212" s="22" t="s">
        <v>716</v>
      </c>
      <c r="E212" s="34"/>
      <c r="F212" s="34"/>
      <c r="G212" s="34"/>
      <c r="H212" s="35"/>
      <c r="I212" s="35"/>
      <c r="J212" s="34"/>
      <c r="K212" s="34"/>
      <c r="L212" s="34"/>
      <c r="M212" s="68"/>
      <c r="N212" s="21"/>
      <c r="O212" s="21"/>
      <c r="P212" s="21"/>
      <c r="Q212" s="52" t="str">
        <f t="shared" si="3"/>
        <v/>
      </c>
    </row>
    <row r="213" spans="1:17" x14ac:dyDescent="0.3">
      <c r="A213" s="40" t="s">
        <v>82</v>
      </c>
      <c r="B213" s="57" t="s">
        <v>491</v>
      </c>
      <c r="C213" s="46">
        <v>2.7253831847243926</v>
      </c>
      <c r="D213" s="22">
        <v>97.193012963230842</v>
      </c>
      <c r="E213" s="34">
        <v>90.3849116559864</v>
      </c>
      <c r="F213" s="34">
        <v>90.335812739142497</v>
      </c>
      <c r="G213" s="34">
        <v>97.214304259230303</v>
      </c>
      <c r="H213" s="35">
        <v>97.847081617751797</v>
      </c>
      <c r="I213" s="35">
        <v>97.955272818758601</v>
      </c>
      <c r="J213" s="34">
        <v>97.792985253640694</v>
      </c>
      <c r="K213" s="34">
        <v>88.869658793136097</v>
      </c>
      <c r="L213" s="34">
        <v>86.109596488134898</v>
      </c>
      <c r="M213" s="68">
        <v>98.105785342405099</v>
      </c>
      <c r="N213" s="21"/>
      <c r="O213" s="21"/>
      <c r="P213" s="21"/>
      <c r="Q213" s="52" t="str">
        <f t="shared" si="3"/>
        <v/>
      </c>
    </row>
    <row r="214" spans="1:17" x14ac:dyDescent="0.3">
      <c r="A214" s="40"/>
      <c r="B214" s="57"/>
      <c r="C214" s="46" t="s">
        <v>716</v>
      </c>
      <c r="D214" s="22" t="s">
        <v>716</v>
      </c>
      <c r="E214" s="34"/>
      <c r="F214" s="34"/>
      <c r="G214" s="34"/>
      <c r="H214" s="35"/>
      <c r="I214" s="35"/>
      <c r="J214" s="34"/>
      <c r="K214" s="34"/>
      <c r="L214" s="34"/>
      <c r="M214" s="68"/>
      <c r="N214" s="21"/>
      <c r="O214" s="21"/>
      <c r="P214" s="21"/>
      <c r="Q214" s="52" t="str">
        <f t="shared" si="3"/>
        <v/>
      </c>
    </row>
    <row r="215" spans="1:17" x14ac:dyDescent="0.3">
      <c r="A215" s="40" t="s">
        <v>83</v>
      </c>
      <c r="B215" s="57" t="s">
        <v>492</v>
      </c>
      <c r="C215" s="46">
        <v>1.8223270557723519</v>
      </c>
      <c r="D215" s="22">
        <v>99.267619671637348</v>
      </c>
      <c r="E215" s="34">
        <v>99.445436386122793</v>
      </c>
      <c r="F215" s="34">
        <v>99.702530521852196</v>
      </c>
      <c r="G215" s="34">
        <v>101.856051496992</v>
      </c>
      <c r="H215" s="35">
        <v>102.36526281755199</v>
      </c>
      <c r="I215" s="35">
        <v>101.845119338348</v>
      </c>
      <c r="J215" s="34">
        <v>103.831628100188</v>
      </c>
      <c r="K215" s="34">
        <v>101.700053402016</v>
      </c>
      <c r="L215" s="34">
        <v>101.16391175212701</v>
      </c>
      <c r="M215" s="68">
        <v>102.164582815578</v>
      </c>
      <c r="N215" s="21"/>
      <c r="O215" s="21"/>
      <c r="P215" s="21"/>
      <c r="Q215" s="52" t="str">
        <f t="shared" si="3"/>
        <v/>
      </c>
    </row>
    <row r="216" spans="1:17" x14ac:dyDescent="0.3">
      <c r="A216" s="40" t="s">
        <v>84</v>
      </c>
      <c r="B216" s="57" t="s">
        <v>493</v>
      </c>
      <c r="C216" s="46">
        <v>0.85552156592245787</v>
      </c>
      <c r="D216" s="22">
        <v>97.47973674243184</v>
      </c>
      <c r="E216" s="34">
        <v>96.207199190054595</v>
      </c>
      <c r="F216" s="34">
        <v>96.21894522126</v>
      </c>
      <c r="G216" s="34">
        <v>98.740049130067504</v>
      </c>
      <c r="H216" s="35">
        <v>96.157458586642704</v>
      </c>
      <c r="I216" s="35">
        <v>96.996362919898303</v>
      </c>
      <c r="J216" s="34">
        <v>100.591888628124</v>
      </c>
      <c r="K216" s="34">
        <v>98.754203743579296</v>
      </c>
      <c r="L216" s="34">
        <v>98.8723077297781</v>
      </c>
      <c r="M216" s="68">
        <v>100.688153814592</v>
      </c>
      <c r="N216" s="21"/>
      <c r="O216" s="21"/>
      <c r="P216" s="21"/>
      <c r="Q216" s="52" t="str">
        <f t="shared" si="3"/>
        <v/>
      </c>
    </row>
    <row r="217" spans="1:17" x14ac:dyDescent="0.3">
      <c r="A217" s="40" t="s">
        <v>85</v>
      </c>
      <c r="B217" s="57" t="s">
        <v>494</v>
      </c>
      <c r="C217" s="46">
        <v>1.8931684794899988</v>
      </c>
      <c r="D217" s="22">
        <v>105.9869383834491</v>
      </c>
      <c r="E217" s="34">
        <v>106.943263356461</v>
      </c>
      <c r="F217" s="34">
        <v>108.403042437876</v>
      </c>
      <c r="G217" s="34">
        <v>106.946733853127</v>
      </c>
      <c r="H217" s="35">
        <v>105.37465151608799</v>
      </c>
      <c r="I217" s="35">
        <v>106.009083175231</v>
      </c>
      <c r="J217" s="34">
        <v>106.598316424923</v>
      </c>
      <c r="K217" s="34">
        <v>103.15521786199299</v>
      </c>
      <c r="L217" s="34">
        <v>102.26474995163601</v>
      </c>
      <c r="M217" s="68">
        <v>106.368354904447</v>
      </c>
      <c r="N217" s="21"/>
      <c r="O217" s="21"/>
      <c r="P217" s="21"/>
      <c r="Q217" s="52" t="str">
        <f t="shared" si="3"/>
        <v/>
      </c>
    </row>
    <row r="218" spans="1:17" x14ac:dyDescent="0.3">
      <c r="A218" s="40" t="s">
        <v>178</v>
      </c>
      <c r="B218" s="57" t="s">
        <v>495</v>
      </c>
      <c r="C218" s="46">
        <v>0.18282317964797312</v>
      </c>
      <c r="D218" s="22">
        <v>101.82056846533051</v>
      </c>
      <c r="E218" s="34">
        <v>101.173896630242</v>
      </c>
      <c r="F218" s="34">
        <v>100.95530708736401</v>
      </c>
      <c r="G218" s="34">
        <v>102.46901070519699</v>
      </c>
      <c r="H218" s="35">
        <v>100.68574291399101</v>
      </c>
      <c r="I218" s="35">
        <v>101.756845004076</v>
      </c>
      <c r="J218" s="34">
        <v>103.63893052838</v>
      </c>
      <c r="K218" s="34">
        <v>98.763110308581005</v>
      </c>
      <c r="L218" s="34">
        <v>97.617081264876703</v>
      </c>
      <c r="M218" s="68">
        <v>98.226243094953205</v>
      </c>
      <c r="N218" s="21"/>
      <c r="O218" s="21"/>
      <c r="P218" s="21"/>
      <c r="Q218" s="52" t="str">
        <f t="shared" si="3"/>
        <v/>
      </c>
    </row>
    <row r="219" spans="1:17" x14ac:dyDescent="0.3">
      <c r="A219" s="40"/>
      <c r="B219" s="57"/>
      <c r="C219" s="46" t="s">
        <v>716</v>
      </c>
      <c r="D219" s="22" t="s">
        <v>716</v>
      </c>
      <c r="E219" s="34"/>
      <c r="F219" s="34"/>
      <c r="G219" s="34"/>
      <c r="H219" s="35"/>
      <c r="I219" s="35"/>
      <c r="J219" s="34"/>
      <c r="K219" s="34"/>
      <c r="L219" s="34"/>
      <c r="M219" s="68"/>
      <c r="N219" s="21"/>
      <c r="O219" s="21"/>
      <c r="P219" s="21"/>
      <c r="Q219" s="52" t="str">
        <f t="shared" si="3"/>
        <v/>
      </c>
    </row>
    <row r="220" spans="1:17" x14ac:dyDescent="0.3">
      <c r="A220" s="40" t="s">
        <v>86</v>
      </c>
      <c r="B220" s="57" t="s">
        <v>496</v>
      </c>
      <c r="C220" s="46">
        <v>4.7538402808327813</v>
      </c>
      <c r="D220" s="22">
        <v>101.84544719740603</v>
      </c>
      <c r="E220" s="34">
        <v>102.01720252347199</v>
      </c>
      <c r="F220" s="34">
        <v>102.670741631233</v>
      </c>
      <c r="G220" s="34">
        <v>103.492664269588</v>
      </c>
      <c r="H220" s="35">
        <v>102.53714427305501</v>
      </c>
      <c r="I220" s="35">
        <v>102.774295783455</v>
      </c>
      <c r="J220" s="34">
        <v>104.529506381752</v>
      </c>
      <c r="K220" s="34">
        <v>101.840485173902</v>
      </c>
      <c r="L220" s="34">
        <v>101.26698345757301</v>
      </c>
      <c r="M220" s="68">
        <v>103.59575673724</v>
      </c>
      <c r="N220" s="21"/>
      <c r="O220" s="21"/>
      <c r="P220" s="21"/>
      <c r="Q220" s="52" t="str">
        <f t="shared" si="3"/>
        <v/>
      </c>
    </row>
    <row r="221" spans="1:17" x14ac:dyDescent="0.3">
      <c r="A221" s="40"/>
      <c r="B221" s="57"/>
      <c r="C221" s="46" t="s">
        <v>716</v>
      </c>
      <c r="D221" s="22" t="s">
        <v>716</v>
      </c>
      <c r="E221" s="34"/>
      <c r="F221" s="34"/>
      <c r="G221" s="34"/>
      <c r="H221" s="35"/>
      <c r="I221" s="35"/>
      <c r="J221" s="34"/>
      <c r="K221" s="34"/>
      <c r="L221" s="34"/>
      <c r="M221" s="68"/>
      <c r="N221" s="21"/>
      <c r="O221" s="21"/>
      <c r="P221" s="21"/>
      <c r="Q221" s="52" t="str">
        <f t="shared" si="3"/>
        <v/>
      </c>
    </row>
    <row r="222" spans="1:17" x14ac:dyDescent="0.3">
      <c r="A222" s="40" t="s">
        <v>228</v>
      </c>
      <c r="B222" s="57" t="s">
        <v>497</v>
      </c>
      <c r="C222" s="46">
        <v>0.17916050510361567</v>
      </c>
      <c r="D222" s="22">
        <v>104.73617899436802</v>
      </c>
      <c r="E222" s="34">
        <v>103.48861591552701</v>
      </c>
      <c r="F222" s="34">
        <v>102.154728243702</v>
      </c>
      <c r="G222" s="34">
        <v>104.278688215042</v>
      </c>
      <c r="H222" s="35">
        <v>103.009496374162</v>
      </c>
      <c r="I222" s="35">
        <v>103.571980873736</v>
      </c>
      <c r="J222" s="34">
        <v>104.879020782705</v>
      </c>
      <c r="K222" s="34">
        <v>102.889670117801</v>
      </c>
      <c r="L222" s="34">
        <v>100.958024664688</v>
      </c>
      <c r="M222" s="68">
        <v>102.931362184153</v>
      </c>
      <c r="N222" s="21"/>
      <c r="O222" s="21"/>
      <c r="P222" s="21"/>
      <c r="Q222" s="52" t="str">
        <f t="shared" si="3"/>
        <v/>
      </c>
    </row>
    <row r="223" spans="1:17" x14ac:dyDescent="0.3">
      <c r="A223" s="40" t="s">
        <v>229</v>
      </c>
      <c r="B223" s="57" t="s">
        <v>498</v>
      </c>
      <c r="C223" s="46">
        <v>0.18178207404824215</v>
      </c>
      <c r="D223" s="22">
        <v>105.14288322154776</v>
      </c>
      <c r="E223" s="34">
        <v>103.169054563617</v>
      </c>
      <c r="F223" s="34">
        <v>103.383699930272</v>
      </c>
      <c r="G223" s="34">
        <v>104.929235685954</v>
      </c>
      <c r="H223" s="35">
        <v>106.171154141923</v>
      </c>
      <c r="I223" s="35">
        <v>104.543836964101</v>
      </c>
      <c r="J223" s="34">
        <v>105.21030580520799</v>
      </c>
      <c r="K223" s="34">
        <v>103.84687978605101</v>
      </c>
      <c r="L223" s="34">
        <v>101.86881906796999</v>
      </c>
      <c r="M223" s="68">
        <v>103.545882419211</v>
      </c>
      <c r="N223" s="21"/>
      <c r="O223" s="21"/>
      <c r="P223" s="21"/>
      <c r="Q223" s="52" t="str">
        <f t="shared" si="3"/>
        <v/>
      </c>
    </row>
    <row r="224" spans="1:17" x14ac:dyDescent="0.3">
      <c r="A224" s="40" t="s">
        <v>230</v>
      </c>
      <c r="B224" s="57" t="s">
        <v>499</v>
      </c>
      <c r="C224" s="46">
        <v>0.19717616462036885</v>
      </c>
      <c r="D224" s="22">
        <v>97.562582526535067</v>
      </c>
      <c r="E224" s="34">
        <v>96.312484821614305</v>
      </c>
      <c r="F224" s="34">
        <v>96.190856290877406</v>
      </c>
      <c r="G224" s="34">
        <v>98.141891352113305</v>
      </c>
      <c r="H224" s="35">
        <v>98.030106972950307</v>
      </c>
      <c r="I224" s="35">
        <v>98.084381406810806</v>
      </c>
      <c r="J224" s="34">
        <v>99.1012139439365</v>
      </c>
      <c r="K224" s="34">
        <v>97.408362791318893</v>
      </c>
      <c r="L224" s="34">
        <v>96.428583062633507</v>
      </c>
      <c r="M224" s="68">
        <v>99.340211635981902</v>
      </c>
      <c r="N224" s="21"/>
      <c r="O224" s="21"/>
      <c r="P224" s="21"/>
      <c r="Q224" s="52" t="str">
        <f t="shared" si="3"/>
        <v/>
      </c>
    </row>
    <row r="225" spans="1:17" x14ac:dyDescent="0.3">
      <c r="A225" s="40"/>
      <c r="B225" s="57"/>
      <c r="C225" s="46" t="s">
        <v>716</v>
      </c>
      <c r="D225" s="22" t="s">
        <v>716</v>
      </c>
      <c r="E225" s="34"/>
      <c r="F225" s="34"/>
      <c r="G225" s="34"/>
      <c r="H225" s="35"/>
      <c r="I225" s="35"/>
      <c r="J225" s="34"/>
      <c r="K225" s="34"/>
      <c r="L225" s="34"/>
      <c r="M225" s="68"/>
      <c r="N225" s="21"/>
      <c r="O225" s="21"/>
      <c r="P225" s="21"/>
      <c r="Q225" s="52" t="str">
        <f t="shared" si="3"/>
        <v/>
      </c>
    </row>
    <row r="226" spans="1:17" x14ac:dyDescent="0.3">
      <c r="A226" s="40" t="s">
        <v>87</v>
      </c>
      <c r="B226" s="57" t="s">
        <v>500</v>
      </c>
      <c r="C226" s="46">
        <v>0.55811874377222659</v>
      </c>
      <c r="D226" s="22">
        <v>102.99391252992604</v>
      </c>
      <c r="E226" s="34">
        <v>101.50412081393</v>
      </c>
      <c r="F226" s="34">
        <v>101.10617547507699</v>
      </c>
      <c r="G226" s="34">
        <v>102.99738946082699</v>
      </c>
      <c r="H226" s="35">
        <v>102.95128744089099</v>
      </c>
      <c r="I226" s="35">
        <v>102.629895275612</v>
      </c>
      <c r="J226" s="34">
        <v>103.634353957145</v>
      </c>
      <c r="K226" s="34">
        <v>101.94002447619999</v>
      </c>
      <c r="L226" s="34">
        <v>100.333756001068</v>
      </c>
      <c r="M226" s="68">
        <v>102.577644787921</v>
      </c>
      <c r="N226" s="21"/>
      <c r="O226" s="21"/>
      <c r="P226" s="21"/>
      <c r="Q226" s="52" t="str">
        <f t="shared" si="3"/>
        <v/>
      </c>
    </row>
    <row r="227" spans="1:17" x14ac:dyDescent="0.3">
      <c r="A227" s="40"/>
      <c r="B227" s="57"/>
      <c r="C227" s="46" t="s">
        <v>716</v>
      </c>
      <c r="D227" s="22" t="s">
        <v>716</v>
      </c>
      <c r="E227" s="34"/>
      <c r="F227" s="34"/>
      <c r="G227" s="34"/>
      <c r="H227" s="35"/>
      <c r="I227" s="35"/>
      <c r="J227" s="34"/>
      <c r="K227" s="34"/>
      <c r="L227" s="34"/>
      <c r="M227" s="68"/>
      <c r="N227" s="21"/>
      <c r="O227" s="21"/>
      <c r="P227" s="21"/>
      <c r="Q227" s="52" t="str">
        <f t="shared" si="3"/>
        <v/>
      </c>
    </row>
    <row r="228" spans="1:17" x14ac:dyDescent="0.3">
      <c r="A228" s="40" t="s">
        <v>88</v>
      </c>
      <c r="B228" s="57" t="s">
        <v>501</v>
      </c>
      <c r="C228" s="46">
        <v>0.27418326967232748</v>
      </c>
      <c r="D228" s="22">
        <v>104.82644330198765</v>
      </c>
      <c r="E228" s="34">
        <v>105.093095822278</v>
      </c>
      <c r="F228" s="34">
        <v>105.093095822278</v>
      </c>
      <c r="G228" s="34">
        <v>105.61171107441299</v>
      </c>
      <c r="H228" s="35">
        <v>105.761342153744</v>
      </c>
      <c r="I228" s="35">
        <v>105.761342153744</v>
      </c>
      <c r="J228" s="34">
        <v>105.761342153744</v>
      </c>
      <c r="K228" s="34">
        <v>105.630469771194</v>
      </c>
      <c r="L228" s="34">
        <v>105.630469771194</v>
      </c>
      <c r="M228" s="68">
        <v>105.951502277654</v>
      </c>
      <c r="N228" s="21"/>
      <c r="O228" s="21"/>
      <c r="P228" s="21"/>
      <c r="Q228" s="52" t="str">
        <f t="shared" si="3"/>
        <v/>
      </c>
    </row>
    <row r="229" spans="1:17" x14ac:dyDescent="0.3">
      <c r="A229" s="40"/>
      <c r="B229" s="57"/>
      <c r="C229" s="46" t="s">
        <v>716</v>
      </c>
      <c r="D229" s="22" t="s">
        <v>716</v>
      </c>
      <c r="E229" s="34"/>
      <c r="F229" s="34"/>
      <c r="G229" s="34"/>
      <c r="H229" s="35"/>
      <c r="I229" s="35"/>
      <c r="J229" s="34"/>
      <c r="K229" s="34"/>
      <c r="L229" s="34"/>
      <c r="M229" s="68"/>
      <c r="N229" s="21"/>
      <c r="O229" s="21"/>
      <c r="P229" s="21"/>
      <c r="Q229" s="52" t="str">
        <f t="shared" si="3"/>
        <v/>
      </c>
    </row>
    <row r="230" spans="1:17" x14ac:dyDescent="0.3">
      <c r="A230" s="40" t="s">
        <v>89</v>
      </c>
      <c r="B230" s="57" t="s">
        <v>502</v>
      </c>
      <c r="C230" s="46">
        <v>5.5861422942773356</v>
      </c>
      <c r="D230" s="22">
        <v>102.04791072928228</v>
      </c>
      <c r="E230" s="34">
        <v>102.05962736488</v>
      </c>
      <c r="F230" s="34">
        <v>102.57750461037401</v>
      </c>
      <c r="G230" s="34">
        <v>103.4903546111</v>
      </c>
      <c r="H230" s="35">
        <v>102.678170742359</v>
      </c>
      <c r="I230" s="35">
        <v>102.84857351758799</v>
      </c>
      <c r="J230" s="34">
        <v>104.44467254723</v>
      </c>
      <c r="K230" s="34">
        <v>101.977769244119</v>
      </c>
      <c r="L230" s="34">
        <v>101.329735331348</v>
      </c>
      <c r="M230" s="68">
        <v>103.55294510394801</v>
      </c>
      <c r="N230" s="21"/>
      <c r="O230" s="21"/>
      <c r="P230" s="21"/>
      <c r="Q230" s="52" t="str">
        <f t="shared" si="3"/>
        <v/>
      </c>
    </row>
    <row r="231" spans="1:17" x14ac:dyDescent="0.3">
      <c r="A231" s="40"/>
      <c r="B231" s="57"/>
      <c r="C231" s="46" t="s">
        <v>716</v>
      </c>
      <c r="D231" s="22" t="s">
        <v>716</v>
      </c>
      <c r="E231" s="34"/>
      <c r="F231" s="34"/>
      <c r="G231" s="34"/>
      <c r="H231" s="35"/>
      <c r="I231" s="35"/>
      <c r="J231" s="34"/>
      <c r="K231" s="34"/>
      <c r="L231" s="34"/>
      <c r="M231" s="68"/>
      <c r="N231" s="21"/>
      <c r="O231" s="21"/>
      <c r="P231" s="21"/>
      <c r="Q231" s="52" t="str">
        <f t="shared" si="3"/>
        <v/>
      </c>
    </row>
    <row r="232" spans="1:17" x14ac:dyDescent="0.3">
      <c r="A232" s="40" t="s">
        <v>90</v>
      </c>
      <c r="B232" s="57" t="s">
        <v>503</v>
      </c>
      <c r="C232" s="46">
        <v>0.51419594451029971</v>
      </c>
      <c r="D232" s="22">
        <v>114.30357162635559</v>
      </c>
      <c r="E232" s="34">
        <v>113.144459492256</v>
      </c>
      <c r="F232" s="34">
        <v>110.552167905876</v>
      </c>
      <c r="G232" s="34">
        <v>115.26752713286</v>
      </c>
      <c r="H232" s="35">
        <v>116.325322241948</v>
      </c>
      <c r="I232" s="35">
        <v>116.616962320241</v>
      </c>
      <c r="J232" s="34">
        <v>116.537372386173</v>
      </c>
      <c r="K232" s="34">
        <v>112.152542233533</v>
      </c>
      <c r="L232" s="34">
        <v>112.639896761385</v>
      </c>
      <c r="M232" s="68">
        <v>117.896263033888</v>
      </c>
      <c r="N232" s="21"/>
      <c r="O232" s="21"/>
      <c r="P232" s="21"/>
      <c r="Q232" s="52" t="str">
        <f t="shared" si="3"/>
        <v/>
      </c>
    </row>
    <row r="233" spans="1:17" x14ac:dyDescent="0.3">
      <c r="A233" s="40" t="s">
        <v>91</v>
      </c>
      <c r="B233" s="57" t="s">
        <v>504</v>
      </c>
      <c r="C233" s="46">
        <v>0.14787940926699847</v>
      </c>
      <c r="D233" s="22">
        <v>116.27483412973216</v>
      </c>
      <c r="E233" s="34">
        <v>113.517741030075</v>
      </c>
      <c r="F233" s="34">
        <v>111.79484536935399</v>
      </c>
      <c r="G233" s="34">
        <v>116.363576361398</v>
      </c>
      <c r="H233" s="35">
        <v>117.42081160822799</v>
      </c>
      <c r="I233" s="35">
        <v>117.412486410638</v>
      </c>
      <c r="J233" s="34">
        <v>117.170299520626</v>
      </c>
      <c r="K233" s="34">
        <v>114.513993926156</v>
      </c>
      <c r="L233" s="34">
        <v>111.15223674148</v>
      </c>
      <c r="M233" s="68">
        <v>117.43462286813499</v>
      </c>
      <c r="N233" s="21"/>
      <c r="O233" s="21"/>
      <c r="P233" s="21"/>
      <c r="Q233" s="52" t="str">
        <f t="shared" si="3"/>
        <v/>
      </c>
    </row>
    <row r="234" spans="1:17" x14ac:dyDescent="0.3">
      <c r="A234" s="40" t="s">
        <v>92</v>
      </c>
      <c r="B234" s="57" t="s">
        <v>505</v>
      </c>
      <c r="C234" s="46">
        <v>1.4102544418681531</v>
      </c>
      <c r="D234" s="22">
        <v>113.3292236273539</v>
      </c>
      <c r="E234" s="34">
        <v>111.92309527603901</v>
      </c>
      <c r="F234" s="34">
        <v>111.22076765652901</v>
      </c>
      <c r="G234" s="34">
        <v>113.681936358904</v>
      </c>
      <c r="H234" s="35">
        <v>113.627462664994</v>
      </c>
      <c r="I234" s="35">
        <v>113.767166574966</v>
      </c>
      <c r="J234" s="34">
        <v>114.15291938122699</v>
      </c>
      <c r="K234" s="34">
        <v>114.446330028497</v>
      </c>
      <c r="L234" s="34">
        <v>112.410509917778</v>
      </c>
      <c r="M234" s="68">
        <v>115.350090553765</v>
      </c>
      <c r="N234" s="21"/>
      <c r="O234" s="21"/>
      <c r="P234" s="21"/>
      <c r="Q234" s="52" t="str">
        <f t="shared" si="3"/>
        <v/>
      </c>
    </row>
    <row r="235" spans="1:17" x14ac:dyDescent="0.3">
      <c r="A235" s="40"/>
      <c r="B235" s="57"/>
      <c r="C235" s="46" t="s">
        <v>716</v>
      </c>
      <c r="D235" s="22" t="s">
        <v>716</v>
      </c>
      <c r="E235" s="34"/>
      <c r="F235" s="34"/>
      <c r="G235" s="34"/>
      <c r="H235" s="35"/>
      <c r="I235" s="35"/>
      <c r="J235" s="34"/>
      <c r="K235" s="34"/>
      <c r="L235" s="34"/>
      <c r="M235" s="68"/>
      <c r="N235" s="21"/>
      <c r="O235" s="21"/>
      <c r="P235" s="21"/>
      <c r="Q235" s="52" t="str">
        <f t="shared" si="3"/>
        <v/>
      </c>
    </row>
    <row r="236" spans="1:17" x14ac:dyDescent="0.3">
      <c r="A236" s="40" t="s">
        <v>93</v>
      </c>
      <c r="B236" s="57" t="s">
        <v>506</v>
      </c>
      <c r="C236" s="46">
        <v>2.0723297956454512</v>
      </c>
      <c r="D236" s="22">
        <v>113.75358871249624</v>
      </c>
      <c r="E236" s="34">
        <v>112.3144144461</v>
      </c>
      <c r="F236" s="34">
        <v>111.07428464770101</v>
      </c>
      <c r="G236" s="34">
        <v>114.238739755042</v>
      </c>
      <c r="H236" s="35">
        <v>114.536540174444</v>
      </c>
      <c r="I236" s="35">
        <v>114.70340066563401</v>
      </c>
      <c r="J236" s="34">
        <v>114.930334087494</v>
      </c>
      <c r="K236" s="34">
        <v>113.86256214968201</v>
      </c>
      <c r="L236" s="34">
        <v>112.357618246074</v>
      </c>
      <c r="M236" s="68">
        <v>116.102084049071</v>
      </c>
      <c r="N236" s="21"/>
      <c r="O236" s="21"/>
      <c r="P236" s="21"/>
      <c r="Q236" s="52" t="str">
        <f t="shared" si="3"/>
        <v/>
      </c>
    </row>
    <row r="237" spans="1:17" x14ac:dyDescent="0.3">
      <c r="A237" s="40"/>
      <c r="B237" s="57"/>
      <c r="C237" s="46" t="s">
        <v>716</v>
      </c>
      <c r="D237" s="22" t="s">
        <v>716</v>
      </c>
      <c r="E237" s="34"/>
      <c r="F237" s="34"/>
      <c r="G237" s="34"/>
      <c r="H237" s="35"/>
      <c r="I237" s="35"/>
      <c r="J237" s="34"/>
      <c r="K237" s="34"/>
      <c r="L237" s="34"/>
      <c r="M237" s="68"/>
      <c r="N237" s="21"/>
      <c r="O237" s="21"/>
      <c r="P237" s="21"/>
      <c r="Q237" s="52" t="str">
        <f t="shared" si="3"/>
        <v/>
      </c>
    </row>
    <row r="238" spans="1:17" x14ac:dyDescent="0.3">
      <c r="A238" s="40" t="s">
        <v>94</v>
      </c>
      <c r="B238" s="57" t="s">
        <v>507</v>
      </c>
      <c r="C238" s="46">
        <v>0.1204783299986197</v>
      </c>
      <c r="D238" s="22">
        <v>108.72032981111806</v>
      </c>
      <c r="E238" s="34">
        <v>109.74414682945201</v>
      </c>
      <c r="F238" s="34">
        <v>111.04120816654</v>
      </c>
      <c r="G238" s="34">
        <v>111.103626253634</v>
      </c>
      <c r="H238" s="35">
        <v>111.889168991757</v>
      </c>
      <c r="I238" s="35">
        <v>111.319151962099</v>
      </c>
      <c r="J238" s="34">
        <v>111.583481872384</v>
      </c>
      <c r="K238" s="34">
        <v>112.135964170422</v>
      </c>
      <c r="L238" s="34">
        <v>111.566915271973</v>
      </c>
      <c r="M238" s="68">
        <v>110.91803298912799</v>
      </c>
      <c r="N238" s="21"/>
      <c r="O238" s="21"/>
      <c r="P238" s="21"/>
      <c r="Q238" s="52" t="str">
        <f t="shared" si="3"/>
        <v/>
      </c>
    </row>
    <row r="239" spans="1:17" x14ac:dyDescent="0.3">
      <c r="A239" s="40"/>
      <c r="B239" s="57"/>
      <c r="C239" s="46" t="s">
        <v>716</v>
      </c>
      <c r="D239" s="22" t="s">
        <v>716</v>
      </c>
      <c r="E239" s="34"/>
      <c r="F239" s="34"/>
      <c r="G239" s="34"/>
      <c r="H239" s="35"/>
      <c r="I239" s="35"/>
      <c r="J239" s="34"/>
      <c r="K239" s="34"/>
      <c r="L239" s="34"/>
      <c r="M239" s="68"/>
      <c r="N239" s="21"/>
      <c r="O239" s="21"/>
      <c r="P239" s="21"/>
      <c r="Q239" s="52" t="str">
        <f t="shared" si="3"/>
        <v/>
      </c>
    </row>
    <row r="240" spans="1:17" x14ac:dyDescent="0.3">
      <c r="A240" s="40" t="s">
        <v>179</v>
      </c>
      <c r="B240" s="57" t="s">
        <v>508</v>
      </c>
      <c r="C240" s="46">
        <v>0.38268378160838529</v>
      </c>
      <c r="D240" s="22">
        <v>116.31431264186081</v>
      </c>
      <c r="E240" s="34">
        <v>114.78373292000001</v>
      </c>
      <c r="F240" s="34">
        <v>114.821436871888</v>
      </c>
      <c r="G240" s="34">
        <v>114.98303020515201</v>
      </c>
      <c r="H240" s="35">
        <v>116.565612091193</v>
      </c>
      <c r="I240" s="35">
        <v>116.162033967299</v>
      </c>
      <c r="J240" s="34">
        <v>117.15165333703899</v>
      </c>
      <c r="K240" s="34">
        <v>119.90263542037199</v>
      </c>
      <c r="L240" s="34">
        <v>118.68133023923301</v>
      </c>
      <c r="M240" s="68">
        <v>119.93536573073</v>
      </c>
      <c r="N240" s="21"/>
      <c r="O240" s="21"/>
      <c r="P240" s="21"/>
      <c r="Q240" s="52" t="str">
        <f t="shared" si="3"/>
        <v/>
      </c>
    </row>
    <row r="241" spans="1:17" x14ac:dyDescent="0.3">
      <c r="A241" s="40" t="s">
        <v>180</v>
      </c>
      <c r="B241" s="57" t="s">
        <v>509</v>
      </c>
      <c r="C241" s="46">
        <v>0.53034622704034218</v>
      </c>
      <c r="D241" s="22">
        <v>106.20074950978929</v>
      </c>
      <c r="E241" s="34">
        <v>106.236731221488</v>
      </c>
      <c r="F241" s="34">
        <v>105.987378722733</v>
      </c>
      <c r="G241" s="34">
        <v>110.87417645060501</v>
      </c>
      <c r="H241" s="35">
        <v>105.633335919922</v>
      </c>
      <c r="I241" s="35">
        <v>108.048684657885</v>
      </c>
      <c r="J241" s="34">
        <v>107.25166972216</v>
      </c>
      <c r="K241" s="34">
        <v>106.290803367081</v>
      </c>
      <c r="L241" s="34">
        <v>106.41043933236899</v>
      </c>
      <c r="M241" s="68">
        <v>106.134840093134</v>
      </c>
      <c r="N241" s="21"/>
      <c r="O241" s="21"/>
      <c r="P241" s="21"/>
      <c r="Q241" s="52" t="str">
        <f t="shared" si="3"/>
        <v/>
      </c>
    </row>
    <row r="242" spans="1:17" x14ac:dyDescent="0.3">
      <c r="A242" s="40"/>
      <c r="B242" s="57"/>
      <c r="C242" s="46" t="s">
        <v>716</v>
      </c>
      <c r="D242" s="22" t="s">
        <v>716</v>
      </c>
      <c r="E242" s="34"/>
      <c r="F242" s="34"/>
      <c r="G242" s="34"/>
      <c r="H242" s="35"/>
      <c r="I242" s="35"/>
      <c r="J242" s="34"/>
      <c r="K242" s="34"/>
      <c r="L242" s="34"/>
      <c r="M242" s="68"/>
      <c r="N242" s="21"/>
      <c r="O242" s="21"/>
      <c r="P242" s="21"/>
      <c r="Q242" s="52" t="str">
        <f t="shared" si="3"/>
        <v/>
      </c>
    </row>
    <row r="243" spans="1:17" x14ac:dyDescent="0.3">
      <c r="A243" s="40" t="s">
        <v>95</v>
      </c>
      <c r="B243" s="57" t="s">
        <v>510</v>
      </c>
      <c r="C243" s="46">
        <v>0.91303000864872752</v>
      </c>
      <c r="D243" s="22">
        <v>108.72923773309185</v>
      </c>
      <c r="E243" s="34">
        <v>108.15094949871499</v>
      </c>
      <c r="F243" s="34">
        <v>108.017433724114</v>
      </c>
      <c r="G243" s="34">
        <v>110.98689339571099</v>
      </c>
      <c r="H243" s="35">
        <v>108.490260534382</v>
      </c>
      <c r="I243" s="35">
        <v>109.768529457303</v>
      </c>
      <c r="J243" s="34">
        <v>109.68228607821899</v>
      </c>
      <c r="K243" s="34">
        <v>110.188709207873</v>
      </c>
      <c r="L243" s="34">
        <v>109.78134442820701</v>
      </c>
      <c r="M243" s="68">
        <v>110.108782708834</v>
      </c>
      <c r="N243" s="21"/>
      <c r="O243" s="21"/>
      <c r="P243" s="21"/>
      <c r="Q243" s="52" t="str">
        <f t="shared" si="3"/>
        <v/>
      </c>
    </row>
    <row r="244" spans="1:17" x14ac:dyDescent="0.3">
      <c r="A244" s="40"/>
      <c r="B244" s="57"/>
      <c r="C244" s="46" t="s">
        <v>716</v>
      </c>
      <c r="D244" s="22" t="s">
        <v>716</v>
      </c>
      <c r="E244" s="34"/>
      <c r="F244" s="34"/>
      <c r="G244" s="34"/>
      <c r="H244" s="35"/>
      <c r="I244" s="35"/>
      <c r="J244" s="34"/>
      <c r="K244" s="34"/>
      <c r="L244" s="34"/>
      <c r="M244" s="68"/>
      <c r="N244" s="21"/>
      <c r="O244" s="21"/>
      <c r="P244" s="21"/>
      <c r="Q244" s="52" t="str">
        <f t="shared" si="3"/>
        <v/>
      </c>
    </row>
    <row r="245" spans="1:17" x14ac:dyDescent="0.3">
      <c r="A245" s="40" t="s">
        <v>96</v>
      </c>
      <c r="B245" s="57" t="s">
        <v>511</v>
      </c>
      <c r="C245" s="46">
        <v>1.0335083386473471</v>
      </c>
      <c r="D245" s="22">
        <v>108.66708886886836</v>
      </c>
      <c r="E245" s="34">
        <v>108.275795119158</v>
      </c>
      <c r="F245" s="34">
        <v>108.309038227023</v>
      </c>
      <c r="G245" s="34">
        <v>110.93811467106499</v>
      </c>
      <c r="H245" s="35">
        <v>108.82530806493401</v>
      </c>
      <c r="I245" s="35">
        <v>109.887505311308</v>
      </c>
      <c r="J245" s="34">
        <v>109.842157488182</v>
      </c>
      <c r="K245" s="34">
        <v>110.353662572939</v>
      </c>
      <c r="L245" s="34">
        <v>109.92768810963901</v>
      </c>
      <c r="M245" s="68">
        <v>110.14118626296499</v>
      </c>
      <c r="N245" s="21"/>
      <c r="O245" s="21"/>
      <c r="P245" s="21"/>
      <c r="Q245" s="52" t="str">
        <f t="shared" si="3"/>
        <v/>
      </c>
    </row>
    <row r="246" spans="1:17" x14ac:dyDescent="0.3">
      <c r="A246" s="40"/>
      <c r="B246" s="57"/>
      <c r="C246" s="46" t="s">
        <v>716</v>
      </c>
      <c r="D246" s="22" t="s">
        <v>716</v>
      </c>
      <c r="E246" s="34"/>
      <c r="F246" s="34"/>
      <c r="G246" s="34"/>
      <c r="H246" s="35"/>
      <c r="I246" s="35"/>
      <c r="J246" s="34"/>
      <c r="K246" s="34"/>
      <c r="L246" s="34"/>
      <c r="M246" s="68"/>
      <c r="N246" s="21"/>
      <c r="O246" s="21"/>
      <c r="P246" s="21"/>
      <c r="Q246" s="52" t="str">
        <f t="shared" si="3"/>
        <v/>
      </c>
    </row>
    <row r="247" spans="1:17" x14ac:dyDescent="0.3">
      <c r="A247" s="40" t="s">
        <v>97</v>
      </c>
      <c r="B247" s="57" t="s">
        <v>512</v>
      </c>
      <c r="C247" s="46">
        <v>12.18494473599508</v>
      </c>
      <c r="D247" s="22">
        <v>109.23927462533271</v>
      </c>
      <c r="E247" s="34">
        <v>109.596164204454</v>
      </c>
      <c r="F247" s="34">
        <v>110.676946704191</v>
      </c>
      <c r="G247" s="34">
        <v>109.351086560395</v>
      </c>
      <c r="H247" s="35">
        <v>109.03915602406001</v>
      </c>
      <c r="I247" s="35">
        <v>108.141174509355</v>
      </c>
      <c r="J247" s="34">
        <v>109.09100441233601</v>
      </c>
      <c r="K247" s="34">
        <v>109.258791746974</v>
      </c>
      <c r="L247" s="34">
        <v>110.916185824366</v>
      </c>
      <c r="M247" s="68">
        <v>107.77946624043101</v>
      </c>
      <c r="N247" s="21"/>
      <c r="O247" s="21"/>
      <c r="P247" s="21"/>
      <c r="Q247" s="52" t="str">
        <f t="shared" si="3"/>
        <v/>
      </c>
    </row>
    <row r="248" spans="1:17" x14ac:dyDescent="0.3">
      <c r="A248" s="40" t="s">
        <v>263</v>
      </c>
      <c r="B248" s="57" t="s">
        <v>513</v>
      </c>
      <c r="C248" s="46">
        <v>4.8305667808892441</v>
      </c>
      <c r="D248" s="22">
        <v>123.56666677185839</v>
      </c>
      <c r="E248" s="34">
        <v>124.761659325495</v>
      </c>
      <c r="F248" s="34">
        <v>125.00159908377</v>
      </c>
      <c r="G248" s="34">
        <v>124.326577008139</v>
      </c>
      <c r="H248" s="35">
        <v>122.494705200792</v>
      </c>
      <c r="I248" s="35">
        <v>122.787446401607</v>
      </c>
      <c r="J248" s="34">
        <v>123.439578053438</v>
      </c>
      <c r="K248" s="34">
        <v>121.61742136497</v>
      </c>
      <c r="L248" s="34">
        <v>122.674674090317</v>
      </c>
      <c r="M248" s="68">
        <v>123.21321917253999</v>
      </c>
      <c r="N248" s="21"/>
      <c r="O248" s="21"/>
      <c r="P248" s="21"/>
      <c r="Q248" s="52" t="str">
        <f t="shared" si="3"/>
        <v/>
      </c>
    </row>
    <row r="249" spans="1:17" x14ac:dyDescent="0.3">
      <c r="A249" s="40"/>
      <c r="B249" s="57"/>
      <c r="C249" s="46" t="s">
        <v>716</v>
      </c>
      <c r="D249" s="22" t="s">
        <v>716</v>
      </c>
      <c r="E249" s="34"/>
      <c r="F249" s="34"/>
      <c r="G249" s="34"/>
      <c r="H249" s="35"/>
      <c r="I249" s="35"/>
      <c r="J249" s="34"/>
      <c r="K249" s="34"/>
      <c r="L249" s="34"/>
      <c r="M249" s="68"/>
      <c r="N249" s="21"/>
      <c r="O249" s="21"/>
      <c r="P249" s="21"/>
      <c r="Q249" s="52" t="str">
        <f t="shared" si="3"/>
        <v/>
      </c>
    </row>
    <row r="250" spans="1:17" x14ac:dyDescent="0.3">
      <c r="A250" s="40" t="s">
        <v>98</v>
      </c>
      <c r="B250" s="57" t="s">
        <v>514</v>
      </c>
      <c r="C250" s="46">
        <v>17.015511516884324</v>
      </c>
      <c r="D250" s="22">
        <v>112.95467129415856</v>
      </c>
      <c r="E250" s="34">
        <v>113.529049013015</v>
      </c>
      <c r="F250" s="34">
        <v>114.391596566754</v>
      </c>
      <c r="G250" s="34">
        <v>113.234669150233</v>
      </c>
      <c r="H250" s="35">
        <v>112.52830474522101</v>
      </c>
      <c r="I250" s="35">
        <v>111.939351362118</v>
      </c>
      <c r="J250" s="34">
        <v>112.811901606991</v>
      </c>
      <c r="K250" s="34">
        <v>112.463272192045</v>
      </c>
      <c r="L250" s="34">
        <v>113.964881645837</v>
      </c>
      <c r="M250" s="68">
        <v>111.78201217599501</v>
      </c>
      <c r="N250" s="21"/>
      <c r="O250" s="21"/>
      <c r="P250" s="21"/>
      <c r="Q250" s="52" t="str">
        <f t="shared" si="3"/>
        <v/>
      </c>
    </row>
    <row r="251" spans="1:17" x14ac:dyDescent="0.3">
      <c r="A251" s="40"/>
      <c r="B251" s="57"/>
      <c r="C251" s="46" t="s">
        <v>716</v>
      </c>
      <c r="D251" s="22" t="s">
        <v>716</v>
      </c>
      <c r="E251" s="34"/>
      <c r="F251" s="34"/>
      <c r="G251" s="34"/>
      <c r="H251" s="35"/>
      <c r="I251" s="35"/>
      <c r="J251" s="34"/>
      <c r="K251" s="34"/>
      <c r="L251" s="34"/>
      <c r="M251" s="68"/>
      <c r="N251" s="21"/>
      <c r="O251" s="21"/>
      <c r="P251" s="21"/>
      <c r="Q251" s="52" t="str">
        <f t="shared" si="3"/>
        <v/>
      </c>
    </row>
    <row r="252" spans="1:17" x14ac:dyDescent="0.3">
      <c r="A252" s="40" t="s">
        <v>99</v>
      </c>
      <c r="B252" s="57" t="s">
        <v>515</v>
      </c>
      <c r="C252" s="46">
        <v>8.0707689581454147</v>
      </c>
      <c r="D252" s="22">
        <v>125.9533607504066</v>
      </c>
      <c r="E252" s="34">
        <v>125.953360750407</v>
      </c>
      <c r="F252" s="34">
        <v>126.63446967063599</v>
      </c>
      <c r="G252" s="34">
        <v>126.65526174073599</v>
      </c>
      <c r="H252" s="35">
        <v>126.68190622375199</v>
      </c>
      <c r="I252" s="35">
        <v>126.68190622375199</v>
      </c>
      <c r="J252" s="34">
        <v>126.68190622375199</v>
      </c>
      <c r="K252" s="34">
        <v>127.862927876874</v>
      </c>
      <c r="L252" s="34">
        <v>127.862927876874</v>
      </c>
      <c r="M252" s="68">
        <v>127.862927876874</v>
      </c>
      <c r="N252" s="21"/>
      <c r="O252" s="21"/>
      <c r="P252" s="21"/>
      <c r="Q252" s="52" t="str">
        <f t="shared" si="3"/>
        <v/>
      </c>
    </row>
    <row r="253" spans="1:17" x14ac:dyDescent="0.3">
      <c r="A253" s="40" t="s">
        <v>264</v>
      </c>
      <c r="B253" s="57" t="s">
        <v>516</v>
      </c>
      <c r="C253" s="46">
        <v>1.2343326805046961</v>
      </c>
      <c r="D253" s="22">
        <v>123.27093719302931</v>
      </c>
      <c r="E253" s="34">
        <v>123.270937193029</v>
      </c>
      <c r="F253" s="34">
        <v>123.270937193029</v>
      </c>
      <c r="G253" s="34">
        <v>124.02357357535899</v>
      </c>
      <c r="H253" s="35">
        <v>126.77335579114499</v>
      </c>
      <c r="I253" s="35">
        <v>126.84546848206099</v>
      </c>
      <c r="J253" s="34">
        <v>127.185828671324</v>
      </c>
      <c r="K253" s="34">
        <v>127.709565014125</v>
      </c>
      <c r="L253" s="34">
        <v>128.16842096586399</v>
      </c>
      <c r="M253" s="68">
        <v>128.926286450747</v>
      </c>
      <c r="N253" s="21"/>
      <c r="O253" s="21"/>
      <c r="P253" s="21"/>
      <c r="Q253" s="52" t="str">
        <f t="shared" si="3"/>
        <v/>
      </c>
    </row>
    <row r="254" spans="1:17" x14ac:dyDescent="0.3">
      <c r="A254" s="40"/>
      <c r="B254" s="57"/>
      <c r="C254" s="46" t="s">
        <v>716</v>
      </c>
      <c r="D254" s="22" t="s">
        <v>716</v>
      </c>
      <c r="E254" s="34"/>
      <c r="F254" s="34"/>
      <c r="G254" s="34"/>
      <c r="H254" s="35"/>
      <c r="I254" s="35"/>
      <c r="J254" s="34"/>
      <c r="K254" s="34"/>
      <c r="L254" s="34"/>
      <c r="M254" s="68"/>
      <c r="N254" s="21"/>
      <c r="O254" s="21"/>
      <c r="P254" s="21"/>
      <c r="Q254" s="52" t="str">
        <f t="shared" si="3"/>
        <v/>
      </c>
    </row>
    <row r="255" spans="1:17" x14ac:dyDescent="0.3">
      <c r="A255" s="40" t="s">
        <v>100</v>
      </c>
      <c r="B255" s="57" t="s">
        <v>517</v>
      </c>
      <c r="C255" s="46">
        <v>9.3051016386501111</v>
      </c>
      <c r="D255" s="22">
        <v>125.76602444917373</v>
      </c>
      <c r="E255" s="34">
        <v>125.766024449174</v>
      </c>
      <c r="F255" s="34">
        <v>126.355904806347</v>
      </c>
      <c r="G255" s="34">
        <v>126.47577085355201</v>
      </c>
      <c r="H255" s="35">
        <v>126.87099141493201</v>
      </c>
      <c r="I255" s="35">
        <v>126.880750867172</v>
      </c>
      <c r="J255" s="34">
        <v>126.92681389670901</v>
      </c>
      <c r="K255" s="34">
        <v>128.02052851079401</v>
      </c>
      <c r="L255" s="34">
        <v>128.082628297799</v>
      </c>
      <c r="M255" s="68">
        <v>128.18519487672501</v>
      </c>
      <c r="N255" s="21"/>
      <c r="O255" s="21"/>
      <c r="P255" s="21"/>
      <c r="Q255" s="52" t="str">
        <f t="shared" si="3"/>
        <v/>
      </c>
    </row>
    <row r="256" spans="1:17" x14ac:dyDescent="0.3">
      <c r="A256" s="40"/>
      <c r="B256" s="57"/>
      <c r="C256" s="46" t="s">
        <v>716</v>
      </c>
      <c r="D256" s="22" t="s">
        <v>716</v>
      </c>
      <c r="E256" s="34"/>
      <c r="F256" s="34"/>
      <c r="G256" s="34"/>
      <c r="H256" s="35"/>
      <c r="I256" s="35"/>
      <c r="J256" s="34"/>
      <c r="K256" s="34"/>
      <c r="L256" s="34"/>
      <c r="M256" s="68"/>
      <c r="N256" s="21"/>
      <c r="O256" s="21"/>
      <c r="P256" s="21"/>
      <c r="Q256" s="52" t="str">
        <f t="shared" si="3"/>
        <v/>
      </c>
    </row>
    <row r="257" spans="1:17" x14ac:dyDescent="0.3">
      <c r="A257" s="40" t="s">
        <v>101</v>
      </c>
      <c r="B257" s="57" t="s">
        <v>518</v>
      </c>
      <c r="C257" s="46">
        <v>26.320613155534435</v>
      </c>
      <c r="D257" s="22">
        <v>118.42179911143023</v>
      </c>
      <c r="E257" s="34">
        <v>118.81108983073899</v>
      </c>
      <c r="F257" s="34">
        <v>119.592052744198</v>
      </c>
      <c r="G257" s="34">
        <v>118.847834195441</v>
      </c>
      <c r="H257" s="35">
        <v>118.500650828975</v>
      </c>
      <c r="I257" s="35">
        <v>118.104730064759</v>
      </c>
      <c r="J257" s="34">
        <v>118.71144410657401</v>
      </c>
      <c r="K257" s="34">
        <v>118.839237276239</v>
      </c>
      <c r="L257" s="34">
        <v>119.87764139579799</v>
      </c>
      <c r="M257" s="68">
        <v>118.43232078664199</v>
      </c>
      <c r="N257" s="21"/>
      <c r="O257" s="21"/>
      <c r="P257" s="21"/>
      <c r="Q257" s="52" t="str">
        <f t="shared" si="3"/>
        <v/>
      </c>
    </row>
    <row r="258" spans="1:17" x14ac:dyDescent="0.3">
      <c r="A258" s="40"/>
      <c r="B258" s="57"/>
      <c r="C258" s="46" t="s">
        <v>716</v>
      </c>
      <c r="D258" s="22" t="s">
        <v>716</v>
      </c>
      <c r="E258" s="34"/>
      <c r="F258" s="34"/>
      <c r="G258" s="34"/>
      <c r="H258" s="35"/>
      <c r="I258" s="35"/>
      <c r="J258" s="34"/>
      <c r="K258" s="34"/>
      <c r="L258" s="34"/>
      <c r="M258" s="68"/>
      <c r="N258" s="21"/>
      <c r="O258" s="21"/>
      <c r="P258" s="21"/>
      <c r="Q258" s="52" t="str">
        <f t="shared" si="3"/>
        <v/>
      </c>
    </row>
    <row r="259" spans="1:17" x14ac:dyDescent="0.3">
      <c r="A259" s="40" t="s">
        <v>102</v>
      </c>
      <c r="B259" s="57" t="s">
        <v>519</v>
      </c>
      <c r="C259" s="46">
        <v>41.328373320194281</v>
      </c>
      <c r="D259" s="22">
        <v>114.25701378297792</v>
      </c>
      <c r="E259" s="34">
        <v>113.622844439926</v>
      </c>
      <c r="F259" s="34">
        <v>113.97871027779399</v>
      </c>
      <c r="G259" s="34">
        <v>114.754309556474</v>
      </c>
      <c r="H259" s="35">
        <v>114.31231562719201</v>
      </c>
      <c r="I259" s="35">
        <v>114.314810930777</v>
      </c>
      <c r="J259" s="34">
        <v>114.938767533025</v>
      </c>
      <c r="K259" s="34">
        <v>113.566424456036</v>
      </c>
      <c r="L259" s="34">
        <v>113.707884223809</v>
      </c>
      <c r="M259" s="68">
        <v>114.344539823015</v>
      </c>
      <c r="N259" s="21"/>
      <c r="O259" s="21"/>
      <c r="P259" s="21"/>
      <c r="Q259" s="52" t="str">
        <f t="shared" si="3"/>
        <v/>
      </c>
    </row>
    <row r="260" spans="1:17" x14ac:dyDescent="0.3">
      <c r="A260" s="40"/>
      <c r="B260" s="57"/>
      <c r="C260" s="46" t="s">
        <v>716</v>
      </c>
      <c r="D260" s="22" t="s">
        <v>716</v>
      </c>
      <c r="E260" s="34"/>
      <c r="F260" s="34"/>
      <c r="G260" s="34"/>
      <c r="H260" s="35"/>
      <c r="I260" s="35"/>
      <c r="J260" s="34"/>
      <c r="K260" s="34"/>
      <c r="L260" s="34"/>
      <c r="M260" s="68"/>
      <c r="N260" s="21"/>
      <c r="O260" s="21"/>
      <c r="P260" s="21"/>
      <c r="Q260" s="52" t="str">
        <f t="shared" si="3"/>
        <v/>
      </c>
    </row>
    <row r="261" spans="1:17" x14ac:dyDescent="0.3">
      <c r="B261" s="55" t="s">
        <v>520</v>
      </c>
      <c r="C261" s="46" t="s">
        <v>716</v>
      </c>
      <c r="D261" s="22" t="s">
        <v>716</v>
      </c>
      <c r="E261" s="34"/>
      <c r="F261" s="34"/>
      <c r="G261" s="34"/>
      <c r="H261" s="35"/>
      <c r="I261" s="35"/>
      <c r="J261" s="34"/>
      <c r="K261" s="34"/>
      <c r="L261" s="34"/>
      <c r="M261" s="68"/>
      <c r="N261" s="21"/>
      <c r="O261" s="21"/>
      <c r="P261" s="21"/>
      <c r="Q261" s="52" t="str">
        <f t="shared" si="3"/>
        <v/>
      </c>
    </row>
    <row r="262" spans="1:17" x14ac:dyDescent="0.3">
      <c r="A262" s="40"/>
      <c r="B262" s="57"/>
      <c r="C262" s="46" t="s">
        <v>716</v>
      </c>
      <c r="D262" s="22" t="s">
        <v>716</v>
      </c>
      <c r="E262" s="34"/>
      <c r="F262" s="34"/>
      <c r="G262" s="34"/>
      <c r="H262" s="35"/>
      <c r="I262" s="35"/>
      <c r="J262" s="34"/>
      <c r="K262" s="34"/>
      <c r="L262" s="34"/>
      <c r="M262" s="68"/>
      <c r="N262" s="21"/>
      <c r="O262" s="21"/>
      <c r="P262" s="21"/>
      <c r="Q262" s="52" t="str">
        <f t="shared" si="3"/>
        <v/>
      </c>
    </row>
    <row r="263" spans="1:17" x14ac:dyDescent="0.3">
      <c r="A263" s="41" t="s">
        <v>265</v>
      </c>
      <c r="B263" s="57" t="s">
        <v>521</v>
      </c>
      <c r="C263" s="46">
        <v>27.79504971740409</v>
      </c>
      <c r="D263" s="22">
        <v>118.6256112788069</v>
      </c>
      <c r="E263" s="34">
        <v>118.58459061184401</v>
      </c>
      <c r="F263" s="34">
        <v>118.600275292557</v>
      </c>
      <c r="G263" s="34">
        <v>117.41115250835399</v>
      </c>
      <c r="H263" s="35">
        <v>117.442155815399</v>
      </c>
      <c r="I263" s="35">
        <v>117.452770808548</v>
      </c>
      <c r="J263" s="34">
        <v>117.470664519089</v>
      </c>
      <c r="K263" s="34">
        <v>117.44584098336399</v>
      </c>
      <c r="L263" s="34">
        <v>117.40885119782099</v>
      </c>
      <c r="M263" s="68">
        <v>117.415306913861</v>
      </c>
      <c r="N263" s="21"/>
      <c r="O263" s="21"/>
      <c r="P263" s="21"/>
      <c r="Q263" s="52" t="str">
        <f t="shared" si="3"/>
        <v/>
      </c>
    </row>
    <row r="264" spans="1:17" x14ac:dyDescent="0.3">
      <c r="A264" s="40"/>
      <c r="B264" s="57"/>
      <c r="C264" s="46" t="s">
        <v>716</v>
      </c>
      <c r="D264" s="22" t="s">
        <v>716</v>
      </c>
      <c r="E264" s="34"/>
      <c r="F264" s="34"/>
      <c r="G264" s="34"/>
      <c r="H264" s="35"/>
      <c r="I264" s="35"/>
      <c r="J264" s="34"/>
      <c r="K264" s="34"/>
      <c r="L264" s="34"/>
      <c r="M264" s="68"/>
      <c r="N264" s="21"/>
      <c r="O264" s="21"/>
      <c r="P264" s="21"/>
      <c r="Q264" s="52" t="str">
        <f t="shared" ref="Q264:Q327" si="4">IF(P264="","",AVERAGE(E264:P264))</f>
        <v/>
      </c>
    </row>
    <row r="265" spans="1:17" x14ac:dyDescent="0.3">
      <c r="A265" s="40" t="s">
        <v>103</v>
      </c>
      <c r="B265" s="57" t="s">
        <v>522</v>
      </c>
      <c r="C265" s="46">
        <v>27.79504971740409</v>
      </c>
      <c r="D265" s="22">
        <v>118.6256112788069</v>
      </c>
      <c r="E265" s="34">
        <v>118.58459061184401</v>
      </c>
      <c r="F265" s="34">
        <v>118.600275292557</v>
      </c>
      <c r="G265" s="34">
        <v>117.41115250835399</v>
      </c>
      <c r="H265" s="35">
        <v>117.442155815399</v>
      </c>
      <c r="I265" s="35">
        <v>117.452770808548</v>
      </c>
      <c r="J265" s="34">
        <v>117.470664519089</v>
      </c>
      <c r="K265" s="34">
        <v>117.44584098336399</v>
      </c>
      <c r="L265" s="34">
        <v>117.40885119782099</v>
      </c>
      <c r="M265" s="68">
        <v>117.415306913861</v>
      </c>
      <c r="N265" s="21"/>
      <c r="O265" s="21"/>
      <c r="P265" s="21"/>
      <c r="Q265" s="52" t="str">
        <f t="shared" si="4"/>
        <v/>
      </c>
    </row>
    <row r="266" spans="1:17" x14ac:dyDescent="0.3">
      <c r="A266" s="41"/>
      <c r="B266" s="57"/>
      <c r="C266" s="46" t="s">
        <v>716</v>
      </c>
      <c r="D266" s="22" t="s">
        <v>716</v>
      </c>
      <c r="E266" s="34"/>
      <c r="F266" s="34"/>
      <c r="G266" s="34"/>
      <c r="H266" s="35"/>
      <c r="I266" s="35"/>
      <c r="J266" s="34"/>
      <c r="K266" s="34"/>
      <c r="L266" s="34"/>
      <c r="M266" s="68"/>
      <c r="N266" s="21"/>
      <c r="O266" s="21"/>
      <c r="P266" s="21"/>
      <c r="Q266" s="52" t="str">
        <f t="shared" si="4"/>
        <v/>
      </c>
    </row>
    <row r="267" spans="1:17" x14ac:dyDescent="0.3">
      <c r="A267" s="40" t="s">
        <v>231</v>
      </c>
      <c r="B267" s="57" t="s">
        <v>523</v>
      </c>
      <c r="C267" s="46">
        <v>0.46070341861677511</v>
      </c>
      <c r="D267" s="22">
        <v>113.84157021664292</v>
      </c>
      <c r="E267" s="34">
        <v>113.68884666116401</v>
      </c>
      <c r="F267" s="34">
        <v>113.783478925973</v>
      </c>
      <c r="G267" s="34">
        <v>114.77328208674901</v>
      </c>
      <c r="H267" s="35">
        <v>114.55771243715201</v>
      </c>
      <c r="I267" s="35">
        <v>114.737129428914</v>
      </c>
      <c r="J267" s="34">
        <v>114.312438607373</v>
      </c>
      <c r="K267" s="34">
        <v>114.383269819947</v>
      </c>
      <c r="L267" s="34">
        <v>113.969068551913</v>
      </c>
      <c r="M267" s="68">
        <v>114.628789008742</v>
      </c>
      <c r="N267" s="21"/>
      <c r="O267" s="21"/>
      <c r="P267" s="21"/>
      <c r="Q267" s="52" t="str">
        <f t="shared" si="4"/>
        <v/>
      </c>
    </row>
    <row r="268" spans="1:17" x14ac:dyDescent="0.3">
      <c r="A268" s="41" t="s">
        <v>266</v>
      </c>
      <c r="B268" s="57" t="s">
        <v>524</v>
      </c>
      <c r="C268" s="46">
        <v>0.11832490772481732</v>
      </c>
      <c r="D268" s="22">
        <v>103.83161384501713</v>
      </c>
      <c r="E268" s="34">
        <v>102.48680243900699</v>
      </c>
      <c r="F268" s="34">
        <v>100.105026995426</v>
      </c>
      <c r="G268" s="34">
        <v>104.544706566046</v>
      </c>
      <c r="H268" s="35">
        <v>104.278925305681</v>
      </c>
      <c r="I268" s="35">
        <v>105.55743436596001</v>
      </c>
      <c r="J268" s="34">
        <v>103.93133546724501</v>
      </c>
      <c r="K268" s="34">
        <v>104.36085925214201</v>
      </c>
      <c r="L268" s="34">
        <v>103.32559310663299</v>
      </c>
      <c r="M268" s="68">
        <v>103.58891114829299</v>
      </c>
      <c r="N268" s="21"/>
      <c r="O268" s="21"/>
      <c r="P268" s="21"/>
      <c r="Q268" s="52" t="str">
        <f t="shared" si="4"/>
        <v/>
      </c>
    </row>
    <row r="269" spans="1:17" x14ac:dyDescent="0.3">
      <c r="A269" s="40" t="s">
        <v>267</v>
      </c>
      <c r="B269" s="57" t="s">
        <v>525</v>
      </c>
      <c r="C269" s="46">
        <v>2.9084394023270659</v>
      </c>
      <c r="D269" s="22">
        <v>119.83607840916824</v>
      </c>
      <c r="E269" s="34">
        <v>119.337261004751</v>
      </c>
      <c r="F269" s="34">
        <v>122.691461811908</v>
      </c>
      <c r="G269" s="34">
        <v>125.40362842398</v>
      </c>
      <c r="H269" s="35">
        <v>122.926842595495</v>
      </c>
      <c r="I269" s="35">
        <v>123.073168847478</v>
      </c>
      <c r="J269" s="34">
        <v>123.353969740582</v>
      </c>
      <c r="K269" s="34">
        <v>123.705795737625</v>
      </c>
      <c r="L269" s="34">
        <v>125.715640402529</v>
      </c>
      <c r="M269" s="68">
        <v>124.12414196128</v>
      </c>
      <c r="N269" s="21"/>
      <c r="O269" s="21"/>
      <c r="P269" s="21"/>
      <c r="Q269" s="52" t="str">
        <f t="shared" si="4"/>
        <v/>
      </c>
    </row>
    <row r="270" spans="1:17" x14ac:dyDescent="0.3">
      <c r="A270" s="40"/>
      <c r="B270" s="57"/>
      <c r="C270" s="46" t="s">
        <v>716</v>
      </c>
      <c r="D270" s="22" t="s">
        <v>716</v>
      </c>
      <c r="E270" s="34"/>
      <c r="F270" s="34"/>
      <c r="G270" s="34"/>
      <c r="H270" s="35"/>
      <c r="I270" s="35"/>
      <c r="J270" s="34"/>
      <c r="K270" s="34"/>
      <c r="L270" s="34"/>
      <c r="M270" s="68"/>
      <c r="N270" s="21"/>
      <c r="O270" s="21"/>
      <c r="P270" s="21"/>
      <c r="Q270" s="52" t="str">
        <f t="shared" si="4"/>
        <v/>
      </c>
    </row>
    <row r="271" spans="1:17" x14ac:dyDescent="0.3">
      <c r="A271" s="41" t="s">
        <v>104</v>
      </c>
      <c r="B271" s="57" t="s">
        <v>526</v>
      </c>
      <c r="C271" s="46">
        <v>3.4874677286686584</v>
      </c>
      <c r="D271" s="22">
        <v>107.96682722914221</v>
      </c>
      <c r="E271" s="34">
        <v>107.525453114253</v>
      </c>
      <c r="F271" s="34">
        <v>109.973518928064</v>
      </c>
      <c r="G271" s="34">
        <v>112.29199273262699</v>
      </c>
      <c r="H271" s="35">
        <v>110.394631174745</v>
      </c>
      <c r="I271" s="35">
        <v>110.57215995485601</v>
      </c>
      <c r="J271" s="34">
        <v>110.672568589845</v>
      </c>
      <c r="K271" s="34">
        <v>110.96094696690299</v>
      </c>
      <c r="L271" s="34">
        <v>112.38266207581501</v>
      </c>
      <c r="M271" s="68">
        <v>111.278804618122</v>
      </c>
      <c r="N271" s="21"/>
      <c r="O271" s="21"/>
      <c r="P271" s="21"/>
      <c r="Q271" s="52" t="str">
        <f t="shared" si="4"/>
        <v/>
      </c>
    </row>
    <row r="272" spans="1:17" x14ac:dyDescent="0.3">
      <c r="A272" s="40"/>
      <c r="B272" s="57"/>
      <c r="C272" s="46" t="s">
        <v>716</v>
      </c>
      <c r="D272" s="22" t="s">
        <v>716</v>
      </c>
      <c r="E272" s="34"/>
      <c r="F272" s="34"/>
      <c r="G272" s="34"/>
      <c r="H272" s="35"/>
      <c r="I272" s="35"/>
      <c r="J272" s="34"/>
      <c r="K272" s="34"/>
      <c r="L272" s="34"/>
      <c r="M272" s="68"/>
      <c r="N272" s="21"/>
      <c r="O272" s="21"/>
      <c r="P272" s="21"/>
      <c r="Q272" s="52" t="str">
        <f t="shared" si="4"/>
        <v/>
      </c>
    </row>
    <row r="273" spans="1:17" x14ac:dyDescent="0.3">
      <c r="A273" s="41" t="s">
        <v>181</v>
      </c>
      <c r="B273" s="57" t="s">
        <v>527</v>
      </c>
      <c r="C273" s="46">
        <v>0.59945314501487501</v>
      </c>
      <c r="D273" s="22">
        <v>120.28574443207803</v>
      </c>
      <c r="E273" s="34">
        <v>120.14038933711799</v>
      </c>
      <c r="F273" s="34">
        <v>125.14631088326701</v>
      </c>
      <c r="G273" s="34">
        <v>125.12747409215901</v>
      </c>
      <c r="H273" s="35">
        <v>125.258113262002</v>
      </c>
      <c r="I273" s="35">
        <v>125.258113262002</v>
      </c>
      <c r="J273" s="34">
        <v>125.258113262002</v>
      </c>
      <c r="K273" s="34">
        <v>124.546596547267</v>
      </c>
      <c r="L273" s="34">
        <v>127.90612300812001</v>
      </c>
      <c r="M273" s="68">
        <v>128.25610203518801</v>
      </c>
      <c r="N273" s="21"/>
      <c r="O273" s="21"/>
      <c r="P273" s="21"/>
      <c r="Q273" s="52" t="str">
        <f t="shared" si="4"/>
        <v/>
      </c>
    </row>
    <row r="274" spans="1:17" x14ac:dyDescent="0.3">
      <c r="A274" s="40" t="s">
        <v>182</v>
      </c>
      <c r="B274" s="57" t="s">
        <v>528</v>
      </c>
      <c r="C274" s="46">
        <v>0.10220762735278278</v>
      </c>
      <c r="D274" s="22">
        <v>103.56617378983304</v>
      </c>
      <c r="E274" s="34">
        <v>102.47490518166499</v>
      </c>
      <c r="F274" s="34">
        <v>102.565638212837</v>
      </c>
      <c r="G274" s="34">
        <v>102.82283345578</v>
      </c>
      <c r="H274" s="35">
        <v>103.377891137741</v>
      </c>
      <c r="I274" s="35">
        <v>103.377891137741</v>
      </c>
      <c r="J274" s="34">
        <v>103.458444406602</v>
      </c>
      <c r="K274" s="34">
        <v>103.73277749015899</v>
      </c>
      <c r="L274" s="34">
        <v>103.73277749015899</v>
      </c>
      <c r="M274" s="68">
        <v>103.73277749015899</v>
      </c>
      <c r="N274" s="21"/>
      <c r="O274" s="21"/>
      <c r="P274" s="21"/>
      <c r="Q274" s="52" t="str">
        <f t="shared" si="4"/>
        <v/>
      </c>
    </row>
    <row r="275" spans="1:17" x14ac:dyDescent="0.3">
      <c r="A275" s="41" t="s">
        <v>268</v>
      </c>
      <c r="B275" s="57" t="s">
        <v>529</v>
      </c>
      <c r="C275" s="46">
        <v>0.12709663126339052</v>
      </c>
      <c r="D275" s="22">
        <v>106.96058295041576</v>
      </c>
      <c r="E275" s="34">
        <v>105.974819319972</v>
      </c>
      <c r="F275" s="34">
        <v>105.751372584584</v>
      </c>
      <c r="G275" s="34">
        <v>105.15730990779799</v>
      </c>
      <c r="H275" s="35">
        <v>105.56841316961901</v>
      </c>
      <c r="I275" s="35">
        <v>105.208584717056</v>
      </c>
      <c r="J275" s="34">
        <v>105.21999477058</v>
      </c>
      <c r="K275" s="34">
        <v>104.914884751212</v>
      </c>
      <c r="L275" s="34">
        <v>105.52260546991</v>
      </c>
      <c r="M275" s="68">
        <v>105.605348892924</v>
      </c>
      <c r="N275" s="21"/>
      <c r="O275" s="21"/>
      <c r="P275" s="21"/>
      <c r="Q275" s="52" t="str">
        <f t="shared" si="4"/>
        <v/>
      </c>
    </row>
    <row r="276" spans="1:17" x14ac:dyDescent="0.3">
      <c r="A276" s="41"/>
      <c r="B276" s="57"/>
      <c r="C276" s="46" t="s">
        <v>716</v>
      </c>
      <c r="D276" s="22" t="s">
        <v>716</v>
      </c>
      <c r="E276" s="34"/>
      <c r="F276" s="34"/>
      <c r="G276" s="34"/>
      <c r="H276" s="35"/>
      <c r="I276" s="35"/>
      <c r="J276" s="34"/>
      <c r="K276" s="34"/>
      <c r="L276" s="34"/>
      <c r="M276" s="68"/>
      <c r="N276" s="21"/>
      <c r="O276" s="21"/>
      <c r="P276" s="21"/>
      <c r="Q276" s="52" t="str">
        <f t="shared" si="4"/>
        <v/>
      </c>
    </row>
    <row r="277" spans="1:17" x14ac:dyDescent="0.3">
      <c r="A277" s="41" t="s">
        <v>105</v>
      </c>
      <c r="B277" s="57" t="s">
        <v>530</v>
      </c>
      <c r="C277" s="46">
        <v>0.82875740363104833</v>
      </c>
      <c r="D277" s="22">
        <v>116.85244941370443</v>
      </c>
      <c r="E277" s="34">
        <v>116.43330964351</v>
      </c>
      <c r="F277" s="34">
        <v>119.926009934425</v>
      </c>
      <c r="G277" s="34">
        <v>119.849032232171</v>
      </c>
      <c r="H277" s="35">
        <v>120.0869400104</v>
      </c>
      <c r="I277" s="35">
        <v>120.02665405072899</v>
      </c>
      <c r="J277" s="34">
        <v>120.03977449606199</v>
      </c>
      <c r="K277" s="34">
        <v>119.52686737299101</v>
      </c>
      <c r="L277" s="34">
        <v>121.989324248054</v>
      </c>
      <c r="M277" s="68">
        <v>122.249106952804</v>
      </c>
      <c r="N277" s="21"/>
      <c r="O277" s="21"/>
      <c r="P277" s="21"/>
      <c r="Q277" s="52" t="str">
        <f t="shared" si="4"/>
        <v/>
      </c>
    </row>
    <row r="278" spans="1:17" x14ac:dyDescent="0.3">
      <c r="A278" s="41"/>
      <c r="B278" s="57"/>
      <c r="C278" s="46" t="s">
        <v>716</v>
      </c>
      <c r="D278" s="22" t="s">
        <v>716</v>
      </c>
      <c r="E278" s="34"/>
      <c r="F278" s="34"/>
      <c r="G278" s="34"/>
      <c r="H278" s="35"/>
      <c r="I278" s="35"/>
      <c r="J278" s="34"/>
      <c r="K278" s="34"/>
      <c r="L278" s="34"/>
      <c r="M278" s="68"/>
      <c r="N278" s="21"/>
      <c r="O278" s="21"/>
      <c r="P278" s="21"/>
      <c r="Q278" s="52" t="str">
        <f t="shared" si="4"/>
        <v/>
      </c>
    </row>
    <row r="279" spans="1:17" x14ac:dyDescent="0.3">
      <c r="A279" s="41" t="s">
        <v>106</v>
      </c>
      <c r="B279" s="57" t="s">
        <v>531</v>
      </c>
      <c r="C279" s="46">
        <v>32.111274849703797</v>
      </c>
      <c r="D279" s="22">
        <v>115.75089467203868</v>
      </c>
      <c r="E279" s="34">
        <v>115.654140905627</v>
      </c>
      <c r="F279" s="34">
        <v>116.041723986401</v>
      </c>
      <c r="G279" s="34">
        <v>115.30536541308901</v>
      </c>
      <c r="H279" s="35">
        <v>115.116712472125</v>
      </c>
      <c r="I279" s="35">
        <v>115.144807456617</v>
      </c>
      <c r="J279" s="34">
        <v>115.171947244685</v>
      </c>
      <c r="K279" s="34">
        <v>115.171445844882</v>
      </c>
      <c r="L279" s="34">
        <v>115.36869676833599</v>
      </c>
      <c r="M279" s="68">
        <v>115.252262266237</v>
      </c>
      <c r="N279" s="21"/>
      <c r="O279" s="21"/>
      <c r="P279" s="21"/>
      <c r="Q279" s="52" t="str">
        <f t="shared" si="4"/>
        <v/>
      </c>
    </row>
    <row r="280" spans="1:17" x14ac:dyDescent="0.3">
      <c r="A280" s="41"/>
      <c r="B280" s="57"/>
      <c r="C280" s="46" t="s">
        <v>716</v>
      </c>
      <c r="D280" s="22" t="s">
        <v>716</v>
      </c>
      <c r="E280" s="34"/>
      <c r="F280" s="34"/>
      <c r="G280" s="34"/>
      <c r="H280" s="35"/>
      <c r="I280" s="35"/>
      <c r="J280" s="34"/>
      <c r="K280" s="34"/>
      <c r="L280" s="34"/>
      <c r="M280" s="68"/>
      <c r="N280" s="21"/>
      <c r="O280" s="21"/>
      <c r="P280" s="21"/>
      <c r="Q280" s="52" t="str">
        <f t="shared" si="4"/>
        <v/>
      </c>
    </row>
    <row r="281" spans="1:17" x14ac:dyDescent="0.3">
      <c r="A281" s="41" t="s">
        <v>269</v>
      </c>
      <c r="B281" s="57" t="s">
        <v>532</v>
      </c>
      <c r="C281" s="46">
        <v>8.7676361871085771</v>
      </c>
      <c r="D281" s="22">
        <v>113.51545772382741</v>
      </c>
      <c r="E281" s="34">
        <v>113.603954415358</v>
      </c>
      <c r="F281" s="34">
        <v>113.603954415358</v>
      </c>
      <c r="G281" s="34">
        <v>115.541199026461</v>
      </c>
      <c r="H281" s="35">
        <v>115.643884932612</v>
      </c>
      <c r="I281" s="35">
        <v>115.643884932612</v>
      </c>
      <c r="J281" s="34">
        <v>115.643884932612</v>
      </c>
      <c r="K281" s="34">
        <v>116.596411507236</v>
      </c>
      <c r="L281" s="34">
        <v>116.479419412225</v>
      </c>
      <c r="M281" s="68">
        <v>118.458366281624</v>
      </c>
      <c r="N281" s="21"/>
      <c r="O281" s="21"/>
      <c r="P281" s="21"/>
      <c r="Q281" s="52" t="str">
        <f t="shared" si="4"/>
        <v/>
      </c>
    </row>
    <row r="282" spans="1:17" x14ac:dyDescent="0.3">
      <c r="A282" s="41"/>
      <c r="B282" s="57"/>
      <c r="C282" s="46" t="s">
        <v>716</v>
      </c>
      <c r="D282" s="22" t="s">
        <v>716</v>
      </c>
      <c r="E282" s="34"/>
      <c r="F282" s="34"/>
      <c r="G282" s="34"/>
      <c r="H282" s="35"/>
      <c r="I282" s="35"/>
      <c r="J282" s="34"/>
      <c r="K282" s="34"/>
      <c r="L282" s="34"/>
      <c r="M282" s="68"/>
      <c r="N282" s="21"/>
      <c r="O282" s="21"/>
      <c r="P282" s="21"/>
      <c r="Q282" s="52" t="str">
        <f t="shared" si="4"/>
        <v/>
      </c>
    </row>
    <row r="283" spans="1:17" x14ac:dyDescent="0.3">
      <c r="A283" s="41" t="s">
        <v>107</v>
      </c>
      <c r="B283" s="57" t="s">
        <v>533</v>
      </c>
      <c r="C283" s="46">
        <v>8.7676361871085771</v>
      </c>
      <c r="D283" s="22">
        <v>113.51545772382741</v>
      </c>
      <c r="E283" s="34">
        <v>113.603954415358</v>
      </c>
      <c r="F283" s="34">
        <v>113.603954415358</v>
      </c>
      <c r="G283" s="34">
        <v>115.541199026461</v>
      </c>
      <c r="H283" s="35">
        <v>115.643884932612</v>
      </c>
      <c r="I283" s="35">
        <v>115.643884932612</v>
      </c>
      <c r="J283" s="34">
        <v>115.643884932612</v>
      </c>
      <c r="K283" s="34">
        <v>116.596411507236</v>
      </c>
      <c r="L283" s="34">
        <v>116.479419412225</v>
      </c>
      <c r="M283" s="68">
        <v>118.458366281624</v>
      </c>
      <c r="N283" s="21"/>
      <c r="O283" s="21"/>
      <c r="P283" s="21"/>
      <c r="Q283" s="52" t="str">
        <f t="shared" si="4"/>
        <v/>
      </c>
    </row>
    <row r="284" spans="1:17" x14ac:dyDescent="0.3">
      <c r="A284" s="41"/>
      <c r="B284" s="57"/>
      <c r="C284" s="46" t="s">
        <v>716</v>
      </c>
      <c r="D284" s="22" t="s">
        <v>716</v>
      </c>
      <c r="E284" s="34"/>
      <c r="F284" s="34"/>
      <c r="G284" s="34"/>
      <c r="H284" s="35"/>
      <c r="I284" s="35"/>
      <c r="J284" s="34"/>
      <c r="K284" s="34"/>
      <c r="L284" s="34"/>
      <c r="M284" s="68"/>
      <c r="N284" s="21"/>
      <c r="O284" s="21"/>
      <c r="P284" s="21"/>
      <c r="Q284" s="52" t="str">
        <f t="shared" si="4"/>
        <v/>
      </c>
    </row>
    <row r="285" spans="1:17" x14ac:dyDescent="0.3">
      <c r="A285" s="41" t="s">
        <v>270</v>
      </c>
      <c r="B285" s="57" t="s">
        <v>534</v>
      </c>
      <c r="C285" s="46">
        <v>8.2148819444505872</v>
      </c>
      <c r="D285" s="22">
        <v>114.34734613672005</v>
      </c>
      <c r="E285" s="34">
        <v>114.34734613672001</v>
      </c>
      <c r="F285" s="34">
        <v>114.34734613672001</v>
      </c>
      <c r="G285" s="34">
        <v>114.789974780024</v>
      </c>
      <c r="H285" s="35">
        <v>114.869002640529</v>
      </c>
      <c r="I285" s="35">
        <v>114.869002640529</v>
      </c>
      <c r="J285" s="34">
        <v>115.34484187779201</v>
      </c>
      <c r="K285" s="34">
        <v>115.5733804935</v>
      </c>
      <c r="L285" s="34">
        <v>116.20502211295501</v>
      </c>
      <c r="M285" s="68">
        <v>116.232485636932</v>
      </c>
      <c r="N285" s="21"/>
      <c r="O285" s="21"/>
      <c r="P285" s="21"/>
      <c r="Q285" s="52" t="str">
        <f t="shared" si="4"/>
        <v/>
      </c>
    </row>
    <row r="286" spans="1:17" x14ac:dyDescent="0.3">
      <c r="A286" s="41" t="s">
        <v>271</v>
      </c>
      <c r="B286" s="57" t="s">
        <v>535</v>
      </c>
      <c r="C286" s="46">
        <v>0.67922837708573336</v>
      </c>
      <c r="D286" s="22">
        <v>105.16888762819625</v>
      </c>
      <c r="E286" s="34">
        <v>105.168887628196</v>
      </c>
      <c r="F286" s="34">
        <v>105.47571630420499</v>
      </c>
      <c r="G286" s="34">
        <v>106.43326245678401</v>
      </c>
      <c r="H286" s="35">
        <v>106.631169374143</v>
      </c>
      <c r="I286" s="35">
        <v>106.631169374143</v>
      </c>
      <c r="J286" s="34">
        <v>107.056868163671</v>
      </c>
      <c r="K286" s="34">
        <v>107.056868163671</v>
      </c>
      <c r="L286" s="34">
        <v>107.363696839681</v>
      </c>
      <c r="M286" s="68">
        <v>107.635144440434</v>
      </c>
      <c r="N286" s="21"/>
      <c r="O286" s="21"/>
      <c r="P286" s="21"/>
      <c r="Q286" s="52" t="str">
        <f t="shared" si="4"/>
        <v/>
      </c>
    </row>
    <row r="287" spans="1:17" x14ac:dyDescent="0.3">
      <c r="A287" s="41"/>
      <c r="B287" s="57"/>
      <c r="C287" s="46" t="s">
        <v>716</v>
      </c>
      <c r="D287" s="22" t="s">
        <v>716</v>
      </c>
      <c r="E287" s="34"/>
      <c r="F287" s="34"/>
      <c r="G287" s="34"/>
      <c r="H287" s="35"/>
      <c r="I287" s="35"/>
      <c r="J287" s="34"/>
      <c r="K287" s="34"/>
      <c r="L287" s="34"/>
      <c r="M287" s="68"/>
      <c r="N287" s="21"/>
      <c r="O287" s="21"/>
      <c r="P287" s="21"/>
      <c r="Q287" s="52" t="str">
        <f t="shared" si="4"/>
        <v/>
      </c>
    </row>
    <row r="288" spans="1:17" x14ac:dyDescent="0.3">
      <c r="A288" s="41" t="s">
        <v>108</v>
      </c>
      <c r="B288" s="57" t="s">
        <v>536</v>
      </c>
      <c r="C288" s="46">
        <v>8.8941103215363206</v>
      </c>
      <c r="D288" s="22">
        <v>113.46285340770862</v>
      </c>
      <c r="E288" s="34">
        <v>113.46285340770901</v>
      </c>
      <c r="F288" s="34">
        <v>113.48813332661599</v>
      </c>
      <c r="G288" s="34">
        <v>113.972690010476</v>
      </c>
      <c r="H288" s="35">
        <v>114.06142378397401</v>
      </c>
      <c r="I288" s="35">
        <v>114.06142378397401</v>
      </c>
      <c r="J288" s="34">
        <v>114.532598121972</v>
      </c>
      <c r="K288" s="34">
        <v>114.742050848704</v>
      </c>
      <c r="L288" s="34">
        <v>115.34622225648501</v>
      </c>
      <c r="M288" s="68">
        <v>115.393757062994</v>
      </c>
      <c r="N288" s="21"/>
      <c r="O288" s="21"/>
      <c r="P288" s="21"/>
      <c r="Q288" s="52" t="str">
        <f t="shared" si="4"/>
        <v/>
      </c>
    </row>
    <row r="289" spans="1:17" x14ac:dyDescent="0.3">
      <c r="A289" s="41"/>
      <c r="B289" s="57"/>
      <c r="C289" s="46" t="s">
        <v>716</v>
      </c>
      <c r="D289" s="22" t="s">
        <v>716</v>
      </c>
      <c r="E289" s="34"/>
      <c r="F289" s="34"/>
      <c r="G289" s="34"/>
      <c r="H289" s="35"/>
      <c r="I289" s="35"/>
      <c r="J289" s="34"/>
      <c r="K289" s="34"/>
      <c r="L289" s="34"/>
      <c r="M289" s="68"/>
      <c r="N289" s="21"/>
      <c r="O289" s="21"/>
      <c r="P289" s="21"/>
      <c r="Q289" s="52" t="str">
        <f t="shared" si="4"/>
        <v/>
      </c>
    </row>
    <row r="290" spans="1:17" x14ac:dyDescent="0.3">
      <c r="A290" s="41" t="s">
        <v>183</v>
      </c>
      <c r="B290" s="57" t="s">
        <v>537</v>
      </c>
      <c r="C290" s="46">
        <v>1.2066334155859793</v>
      </c>
      <c r="D290" s="22">
        <v>114.08254412072102</v>
      </c>
      <c r="E290" s="34">
        <v>115.946736727971</v>
      </c>
      <c r="F290" s="34">
        <v>115.946736727971</v>
      </c>
      <c r="G290" s="34">
        <v>119.933644444197</v>
      </c>
      <c r="H290" s="35">
        <v>120.38094035672</v>
      </c>
      <c r="I290" s="35">
        <v>120.38094035672</v>
      </c>
      <c r="J290" s="34">
        <v>119.161924776935</v>
      </c>
      <c r="K290" s="34">
        <v>119.583397877948</v>
      </c>
      <c r="L290" s="34">
        <v>119.93295351559399</v>
      </c>
      <c r="M290" s="68">
        <v>120.54898445748501</v>
      </c>
      <c r="N290" s="21"/>
      <c r="O290" s="21"/>
      <c r="P290" s="21"/>
      <c r="Q290" s="52" t="str">
        <f t="shared" si="4"/>
        <v/>
      </c>
    </row>
    <row r="291" spans="1:17" x14ac:dyDescent="0.3">
      <c r="A291" s="41"/>
      <c r="B291" s="57"/>
      <c r="C291" s="46" t="s">
        <v>716</v>
      </c>
      <c r="D291" s="22" t="s">
        <v>716</v>
      </c>
      <c r="E291" s="34"/>
      <c r="F291" s="34"/>
      <c r="G291" s="34"/>
      <c r="H291" s="35"/>
      <c r="I291" s="35"/>
      <c r="J291" s="34"/>
      <c r="K291" s="34"/>
      <c r="L291" s="34"/>
      <c r="M291" s="68"/>
      <c r="N291" s="21"/>
      <c r="O291" s="21"/>
      <c r="P291" s="21"/>
      <c r="Q291" s="52" t="str">
        <f t="shared" si="4"/>
        <v/>
      </c>
    </row>
    <row r="292" spans="1:17" x14ac:dyDescent="0.3">
      <c r="A292" s="41" t="s">
        <v>109</v>
      </c>
      <c r="B292" s="57" t="s">
        <v>538</v>
      </c>
      <c r="C292" s="46">
        <v>1.2066334155859793</v>
      </c>
      <c r="D292" s="22">
        <v>114.08254412072102</v>
      </c>
      <c r="E292" s="34">
        <v>115.946736727971</v>
      </c>
      <c r="F292" s="34">
        <v>115.946736727971</v>
      </c>
      <c r="G292" s="34">
        <v>119.933644444197</v>
      </c>
      <c r="H292" s="35">
        <v>120.38094035672</v>
      </c>
      <c r="I292" s="35">
        <v>120.38094035672</v>
      </c>
      <c r="J292" s="34">
        <v>119.161924776935</v>
      </c>
      <c r="K292" s="34">
        <v>119.583397877948</v>
      </c>
      <c r="L292" s="34">
        <v>119.93295351559399</v>
      </c>
      <c r="M292" s="68">
        <v>120.54898445748501</v>
      </c>
      <c r="N292" s="21"/>
      <c r="O292" s="21"/>
      <c r="P292" s="21"/>
      <c r="Q292" s="52" t="str">
        <f t="shared" si="4"/>
        <v/>
      </c>
    </row>
    <row r="293" spans="1:17" x14ac:dyDescent="0.3">
      <c r="A293" s="41"/>
      <c r="B293" s="57"/>
      <c r="C293" s="46" t="s">
        <v>716</v>
      </c>
      <c r="D293" s="22" t="s">
        <v>716</v>
      </c>
      <c r="E293" s="34"/>
      <c r="F293" s="34"/>
      <c r="G293" s="34"/>
      <c r="H293" s="35"/>
      <c r="I293" s="35"/>
      <c r="J293" s="34"/>
      <c r="K293" s="34"/>
      <c r="L293" s="34"/>
      <c r="M293" s="68"/>
      <c r="N293" s="21"/>
      <c r="O293" s="21"/>
      <c r="P293" s="21"/>
      <c r="Q293" s="52" t="str">
        <f t="shared" si="4"/>
        <v/>
      </c>
    </row>
    <row r="294" spans="1:17" x14ac:dyDescent="0.3">
      <c r="A294" s="41" t="s">
        <v>110</v>
      </c>
      <c r="B294" s="57" t="s">
        <v>539</v>
      </c>
      <c r="C294" s="46">
        <v>18.868379924230876</v>
      </c>
      <c r="D294" s="22">
        <v>113.47581328912683</v>
      </c>
      <c r="E294" s="34">
        <v>113.635502135799</v>
      </c>
      <c r="F294" s="34">
        <v>113.64741985583601</v>
      </c>
      <c r="G294" s="34">
        <v>115.029333296102</v>
      </c>
      <c r="H294" s="35">
        <v>115.14731629870801</v>
      </c>
      <c r="I294" s="35">
        <v>115.14731629870801</v>
      </c>
      <c r="J294" s="34">
        <v>115.29190068126999</v>
      </c>
      <c r="K294" s="34">
        <v>115.859912195295</v>
      </c>
      <c r="L294" s="34">
        <v>116.112627975198</v>
      </c>
      <c r="M294" s="68">
        <v>117.0934660243</v>
      </c>
      <c r="N294" s="21"/>
      <c r="O294" s="21"/>
      <c r="P294" s="21"/>
      <c r="Q294" s="52" t="str">
        <f t="shared" si="4"/>
        <v/>
      </c>
    </row>
    <row r="295" spans="1:17" x14ac:dyDescent="0.3">
      <c r="A295" s="41"/>
      <c r="B295" s="57"/>
      <c r="C295" s="46" t="s">
        <v>716</v>
      </c>
      <c r="D295" s="22" t="s">
        <v>716</v>
      </c>
      <c r="E295" s="34"/>
      <c r="F295" s="34"/>
      <c r="G295" s="34"/>
      <c r="H295" s="35"/>
      <c r="I295" s="35"/>
      <c r="J295" s="34"/>
      <c r="K295" s="34"/>
      <c r="L295" s="34"/>
      <c r="M295" s="68"/>
      <c r="N295" s="21"/>
      <c r="O295" s="21"/>
      <c r="P295" s="21"/>
      <c r="Q295" s="52" t="str">
        <f t="shared" si="4"/>
        <v/>
      </c>
    </row>
    <row r="296" spans="1:17" x14ac:dyDescent="0.3">
      <c r="A296" s="41" t="s">
        <v>272</v>
      </c>
      <c r="B296" s="57" t="s">
        <v>540</v>
      </c>
      <c r="C296" s="46">
        <v>24.214496088011238</v>
      </c>
      <c r="D296" s="22">
        <v>106.77069079442923</v>
      </c>
      <c r="E296" s="34">
        <v>106.77069079442801</v>
      </c>
      <c r="F296" s="34">
        <v>106.77069079442801</v>
      </c>
      <c r="G296" s="34">
        <v>108.058573926986</v>
      </c>
      <c r="H296" s="35">
        <v>108.058573926986</v>
      </c>
      <c r="I296" s="35">
        <v>108.058573926986</v>
      </c>
      <c r="J296" s="34">
        <v>108.291690033884</v>
      </c>
      <c r="K296" s="34">
        <v>107.98257737110301</v>
      </c>
      <c r="L296" s="34">
        <v>108.29305769856001</v>
      </c>
      <c r="M296" s="68">
        <v>108.29305769856001</v>
      </c>
      <c r="N296" s="21"/>
      <c r="O296" s="21"/>
      <c r="P296" s="21"/>
      <c r="Q296" s="52" t="str">
        <f t="shared" si="4"/>
        <v/>
      </c>
    </row>
    <row r="297" spans="1:17" x14ac:dyDescent="0.3">
      <c r="A297" s="41"/>
      <c r="B297" s="57"/>
      <c r="C297" s="46" t="s">
        <v>716</v>
      </c>
      <c r="D297" s="22" t="s">
        <v>716</v>
      </c>
      <c r="E297" s="34"/>
      <c r="F297" s="34"/>
      <c r="G297" s="34"/>
      <c r="H297" s="35"/>
      <c r="I297" s="35"/>
      <c r="J297" s="34"/>
      <c r="K297" s="34"/>
      <c r="L297" s="34"/>
      <c r="M297" s="68"/>
      <c r="N297" s="21"/>
      <c r="O297" s="21"/>
      <c r="P297" s="21"/>
      <c r="Q297" s="52" t="str">
        <f t="shared" si="4"/>
        <v/>
      </c>
    </row>
    <row r="298" spans="1:17" x14ac:dyDescent="0.3">
      <c r="A298" s="41" t="s">
        <v>111</v>
      </c>
      <c r="B298" s="57" t="s">
        <v>541</v>
      </c>
      <c r="C298" s="46">
        <v>24.214496088011238</v>
      </c>
      <c r="D298" s="22">
        <v>106.77069079442923</v>
      </c>
      <c r="E298" s="34">
        <v>106.77069079442801</v>
      </c>
      <c r="F298" s="34">
        <v>106.77069079442801</v>
      </c>
      <c r="G298" s="34">
        <v>108.058573926986</v>
      </c>
      <c r="H298" s="35">
        <v>108.058573926986</v>
      </c>
      <c r="I298" s="35">
        <v>108.058573926986</v>
      </c>
      <c r="J298" s="34">
        <v>108.291690033884</v>
      </c>
      <c r="K298" s="34">
        <v>107.98257737110301</v>
      </c>
      <c r="L298" s="34">
        <v>108.29305769856001</v>
      </c>
      <c r="M298" s="68">
        <v>108.29305769856001</v>
      </c>
      <c r="N298" s="21"/>
      <c r="O298" s="21"/>
      <c r="P298" s="21"/>
      <c r="Q298" s="52" t="str">
        <f t="shared" si="4"/>
        <v/>
      </c>
    </row>
    <row r="299" spans="1:17" x14ac:dyDescent="0.3">
      <c r="A299" s="41"/>
      <c r="B299" s="57"/>
      <c r="C299" s="46" t="s">
        <v>716</v>
      </c>
      <c r="D299" s="22" t="s">
        <v>716</v>
      </c>
      <c r="E299" s="34"/>
      <c r="F299" s="34"/>
      <c r="G299" s="34"/>
      <c r="H299" s="35"/>
      <c r="I299" s="35"/>
      <c r="J299" s="34"/>
      <c r="K299" s="34"/>
      <c r="L299" s="34"/>
      <c r="M299" s="68"/>
      <c r="N299" s="21"/>
      <c r="O299" s="21"/>
      <c r="P299" s="21"/>
      <c r="Q299" s="52" t="str">
        <f t="shared" si="4"/>
        <v/>
      </c>
    </row>
    <row r="300" spans="1:17" x14ac:dyDescent="0.3">
      <c r="A300" s="41" t="s">
        <v>273</v>
      </c>
      <c r="B300" s="57" t="s">
        <v>542</v>
      </c>
      <c r="C300" s="46">
        <v>2.353494189393512</v>
      </c>
      <c r="D300" s="22">
        <v>108.44473063214511</v>
      </c>
      <c r="E300" s="34">
        <v>108.444730632145</v>
      </c>
      <c r="F300" s="34">
        <v>108.830403800867</v>
      </c>
      <c r="G300" s="34">
        <v>109.073089969232</v>
      </c>
      <c r="H300" s="35">
        <v>109.539427835894</v>
      </c>
      <c r="I300" s="35">
        <v>109.539427835894</v>
      </c>
      <c r="J300" s="34">
        <v>109.583955865985</v>
      </c>
      <c r="K300" s="34">
        <v>110.156406531339</v>
      </c>
      <c r="L300" s="34">
        <v>110.44331158050301</v>
      </c>
      <c r="M300" s="68">
        <v>111.124723149641</v>
      </c>
      <c r="N300" s="21"/>
      <c r="O300" s="21"/>
      <c r="P300" s="21"/>
      <c r="Q300" s="52" t="str">
        <f t="shared" si="4"/>
        <v/>
      </c>
    </row>
    <row r="301" spans="1:17" x14ac:dyDescent="0.3">
      <c r="A301" s="41"/>
      <c r="B301" s="57"/>
      <c r="C301" s="46" t="s">
        <v>716</v>
      </c>
      <c r="D301" s="22" t="s">
        <v>716</v>
      </c>
      <c r="E301" s="34"/>
      <c r="F301" s="34"/>
      <c r="G301" s="34"/>
      <c r="H301" s="35"/>
      <c r="I301" s="35"/>
      <c r="J301" s="34"/>
      <c r="K301" s="34"/>
      <c r="L301" s="34"/>
      <c r="M301" s="68"/>
      <c r="N301" s="21"/>
      <c r="O301" s="21"/>
      <c r="P301" s="21"/>
      <c r="Q301" s="52" t="str">
        <f t="shared" si="4"/>
        <v/>
      </c>
    </row>
    <row r="302" spans="1:17" x14ac:dyDescent="0.3">
      <c r="A302" s="41" t="s">
        <v>274</v>
      </c>
      <c r="B302" s="57" t="s">
        <v>543</v>
      </c>
      <c r="C302" s="46">
        <v>2.353494189393512</v>
      </c>
      <c r="D302" s="22">
        <v>108.44473063214511</v>
      </c>
      <c r="E302" s="34">
        <v>108.444730632145</v>
      </c>
      <c r="F302" s="34">
        <v>108.830403800867</v>
      </c>
      <c r="G302" s="34">
        <v>109.073089969232</v>
      </c>
      <c r="H302" s="35">
        <v>109.539427835894</v>
      </c>
      <c r="I302" s="35">
        <v>109.539427835894</v>
      </c>
      <c r="J302" s="34">
        <v>109.583955865985</v>
      </c>
      <c r="K302" s="34">
        <v>110.156406531339</v>
      </c>
      <c r="L302" s="34">
        <v>110.44331158050301</v>
      </c>
      <c r="M302" s="68">
        <v>111.124723149641</v>
      </c>
      <c r="N302" s="21"/>
      <c r="O302" s="21"/>
      <c r="P302" s="21"/>
      <c r="Q302" s="52" t="str">
        <f t="shared" si="4"/>
        <v/>
      </c>
    </row>
    <row r="303" spans="1:17" x14ac:dyDescent="0.3">
      <c r="A303" s="41"/>
      <c r="B303" s="57"/>
      <c r="C303" s="46" t="s">
        <v>716</v>
      </c>
      <c r="D303" s="22" t="s">
        <v>716</v>
      </c>
      <c r="E303" s="34"/>
      <c r="F303" s="34"/>
      <c r="G303" s="34"/>
      <c r="H303" s="35"/>
      <c r="I303" s="35"/>
      <c r="J303" s="34"/>
      <c r="K303" s="34"/>
      <c r="L303" s="34"/>
      <c r="M303" s="68"/>
      <c r="N303" s="21"/>
      <c r="O303" s="21"/>
      <c r="P303" s="21"/>
      <c r="Q303" s="52" t="str">
        <f t="shared" si="4"/>
        <v/>
      </c>
    </row>
    <row r="304" spans="1:17" x14ac:dyDescent="0.3">
      <c r="A304" s="41" t="s">
        <v>112</v>
      </c>
      <c r="B304" s="57" t="s">
        <v>544</v>
      </c>
      <c r="C304" s="46">
        <v>77.547645051339416</v>
      </c>
      <c r="D304" s="22">
        <v>112.34993628805275</v>
      </c>
      <c r="E304" s="34">
        <v>112.349518142344</v>
      </c>
      <c r="F304" s="34">
        <v>112.520292012193</v>
      </c>
      <c r="G304" s="34">
        <v>112.988028227637</v>
      </c>
      <c r="H304" s="35">
        <v>112.95528979758799</v>
      </c>
      <c r="I304" s="35">
        <v>112.966581676302</v>
      </c>
      <c r="J304" s="34">
        <v>113.09031487107799</v>
      </c>
      <c r="K304" s="34">
        <v>113.143380787095</v>
      </c>
      <c r="L304" s="34">
        <v>113.39457381854</v>
      </c>
      <c r="M304" s="68">
        <v>113.6054847738</v>
      </c>
      <c r="N304" s="21"/>
      <c r="O304" s="21"/>
      <c r="P304" s="21"/>
      <c r="Q304" s="52" t="str">
        <f t="shared" si="4"/>
        <v/>
      </c>
    </row>
    <row r="305" spans="1:17" x14ac:dyDescent="0.3">
      <c r="A305" s="40"/>
      <c r="B305" s="57"/>
      <c r="C305" s="46" t="s">
        <v>716</v>
      </c>
      <c r="D305" s="22" t="s">
        <v>716</v>
      </c>
      <c r="E305" s="34"/>
      <c r="F305" s="34"/>
      <c r="G305" s="34"/>
      <c r="H305" s="35"/>
      <c r="I305" s="35"/>
      <c r="J305" s="34"/>
      <c r="K305" s="34"/>
      <c r="L305" s="34"/>
      <c r="M305" s="68"/>
      <c r="N305" s="21"/>
      <c r="O305" s="21"/>
      <c r="P305" s="21"/>
      <c r="Q305" s="52" t="str">
        <f t="shared" si="4"/>
        <v/>
      </c>
    </row>
    <row r="306" spans="1:17" x14ac:dyDescent="0.3">
      <c r="B306" s="55" t="s">
        <v>545</v>
      </c>
      <c r="C306" s="46" t="s">
        <v>716</v>
      </c>
      <c r="D306" s="22" t="s">
        <v>716</v>
      </c>
      <c r="E306" s="34"/>
      <c r="F306" s="34"/>
      <c r="G306" s="34"/>
      <c r="H306" s="35"/>
      <c r="I306" s="35"/>
      <c r="J306" s="34"/>
      <c r="K306" s="34"/>
      <c r="L306" s="34"/>
      <c r="M306" s="68"/>
      <c r="N306" s="21"/>
      <c r="O306" s="21"/>
      <c r="P306" s="21"/>
      <c r="Q306" s="52" t="str">
        <f t="shared" si="4"/>
        <v/>
      </c>
    </row>
    <row r="307" spans="1:17" x14ac:dyDescent="0.3">
      <c r="A307" s="40"/>
      <c r="B307" s="57"/>
      <c r="C307" s="46" t="s">
        <v>716</v>
      </c>
      <c r="D307" s="22" t="s">
        <v>716</v>
      </c>
      <c r="E307" s="34"/>
      <c r="F307" s="34"/>
      <c r="G307" s="34"/>
      <c r="H307" s="35"/>
      <c r="I307" s="35"/>
      <c r="J307" s="34"/>
      <c r="K307" s="34"/>
      <c r="L307" s="34"/>
      <c r="M307" s="68"/>
      <c r="N307" s="21"/>
      <c r="O307" s="21"/>
      <c r="P307" s="21"/>
      <c r="Q307" s="52" t="str">
        <f t="shared" si="4"/>
        <v/>
      </c>
    </row>
    <row r="308" spans="1:17" x14ac:dyDescent="0.3">
      <c r="A308" s="41" t="s">
        <v>184</v>
      </c>
      <c r="B308" s="57" t="s">
        <v>546</v>
      </c>
      <c r="C308" s="46">
        <v>19.337661483839014</v>
      </c>
      <c r="D308" s="22">
        <v>127.83659617165344</v>
      </c>
      <c r="E308" s="34">
        <v>127.785461533185</v>
      </c>
      <c r="F308" s="34">
        <v>128.117703733171</v>
      </c>
      <c r="G308" s="34">
        <v>127.976774259065</v>
      </c>
      <c r="H308" s="35">
        <v>127.106532194103</v>
      </c>
      <c r="I308" s="35">
        <v>127.106532194103</v>
      </c>
      <c r="J308" s="34">
        <v>127.106532194103</v>
      </c>
      <c r="K308" s="34">
        <v>126.343893000938</v>
      </c>
      <c r="L308" s="34">
        <v>126.470236893939</v>
      </c>
      <c r="M308" s="68">
        <v>126.482883917629</v>
      </c>
      <c r="N308" s="21"/>
      <c r="O308" s="21"/>
      <c r="P308" s="21"/>
      <c r="Q308" s="52" t="str">
        <f t="shared" si="4"/>
        <v/>
      </c>
    </row>
    <row r="309" spans="1:17" x14ac:dyDescent="0.3">
      <c r="A309" s="41" t="s">
        <v>185</v>
      </c>
      <c r="B309" s="57" t="s">
        <v>547</v>
      </c>
      <c r="C309" s="46">
        <v>13.659722086301539</v>
      </c>
      <c r="D309" s="22">
        <v>116.11951594747615</v>
      </c>
      <c r="E309" s="34">
        <v>116.096292044287</v>
      </c>
      <c r="F309" s="34">
        <v>116.165949819513</v>
      </c>
      <c r="G309" s="34">
        <v>115.619969855362</v>
      </c>
      <c r="H309" s="35">
        <v>115.49278788852099</v>
      </c>
      <c r="I309" s="35">
        <v>114.63814125814601</v>
      </c>
      <c r="J309" s="34">
        <v>114.156661064861</v>
      </c>
      <c r="K309" s="34">
        <v>114.168076730968</v>
      </c>
      <c r="L309" s="34">
        <v>114.613332230219</v>
      </c>
      <c r="M309" s="68">
        <v>113.719348238823</v>
      </c>
      <c r="N309" s="21"/>
      <c r="O309" s="21"/>
      <c r="P309" s="21"/>
      <c r="Q309" s="52" t="str">
        <f t="shared" si="4"/>
        <v/>
      </c>
    </row>
    <row r="310" spans="1:17" x14ac:dyDescent="0.3">
      <c r="A310" s="41"/>
      <c r="B310" s="57"/>
      <c r="C310" s="46" t="s">
        <v>716</v>
      </c>
      <c r="D310" s="22" t="s">
        <v>716</v>
      </c>
      <c r="E310" s="34"/>
      <c r="F310" s="34"/>
      <c r="G310" s="34"/>
      <c r="H310" s="35"/>
      <c r="I310" s="35"/>
      <c r="J310" s="34"/>
      <c r="K310" s="34"/>
      <c r="L310" s="34"/>
      <c r="M310" s="68"/>
      <c r="N310" s="21"/>
      <c r="O310" s="21"/>
      <c r="P310" s="21"/>
      <c r="Q310" s="52" t="str">
        <f t="shared" si="4"/>
        <v/>
      </c>
    </row>
    <row r="311" spans="1:17" x14ac:dyDescent="0.3">
      <c r="A311" s="41" t="s">
        <v>113</v>
      </c>
      <c r="B311" s="57" t="s">
        <v>548</v>
      </c>
      <c r="C311" s="46">
        <v>32.997383570140556</v>
      </c>
      <c r="D311" s="22">
        <v>123.24298807598689</v>
      </c>
      <c r="E311" s="34">
        <v>123.203894507736</v>
      </c>
      <c r="F311" s="34">
        <v>123.422208770917</v>
      </c>
      <c r="G311" s="34">
        <v>123.10270561156899</v>
      </c>
      <c r="H311" s="35">
        <v>122.55515954638901</v>
      </c>
      <c r="I311" s="35">
        <v>122.179663001116</v>
      </c>
      <c r="J311" s="34">
        <v>121.968120425775</v>
      </c>
      <c r="K311" s="34">
        <v>121.542261700553</v>
      </c>
      <c r="L311" s="34">
        <v>121.809270145494</v>
      </c>
      <c r="M311" s="68">
        <v>121.423635672267</v>
      </c>
      <c r="N311" s="21"/>
      <c r="O311" s="21"/>
      <c r="P311" s="21"/>
      <c r="Q311" s="52" t="str">
        <f t="shared" si="4"/>
        <v/>
      </c>
    </row>
    <row r="312" spans="1:17" x14ac:dyDescent="0.3">
      <c r="A312" s="41"/>
      <c r="B312" s="57"/>
      <c r="C312" s="46" t="s">
        <v>716</v>
      </c>
      <c r="D312" s="22" t="s">
        <v>716</v>
      </c>
      <c r="E312" s="34"/>
      <c r="F312" s="34"/>
      <c r="G312" s="34"/>
      <c r="H312" s="35"/>
      <c r="I312" s="35"/>
      <c r="J312" s="34"/>
      <c r="K312" s="34"/>
      <c r="L312" s="34"/>
      <c r="M312" s="68"/>
      <c r="N312" s="21"/>
      <c r="O312" s="21"/>
      <c r="P312" s="21"/>
      <c r="Q312" s="52" t="str">
        <f t="shared" si="4"/>
        <v/>
      </c>
    </row>
    <row r="313" spans="1:17" x14ac:dyDescent="0.3">
      <c r="A313" s="41" t="s">
        <v>186</v>
      </c>
      <c r="B313" s="57" t="s">
        <v>549</v>
      </c>
      <c r="C313" s="46">
        <v>4.4351109852002821</v>
      </c>
      <c r="D313" s="22">
        <v>112.24968837667291</v>
      </c>
      <c r="E313" s="34">
        <v>112.280934315333</v>
      </c>
      <c r="F313" s="34">
        <v>112.18623623924501</v>
      </c>
      <c r="G313" s="34">
        <v>112.265405209637</v>
      </c>
      <c r="H313" s="35">
        <v>111.96445135742</v>
      </c>
      <c r="I313" s="35">
        <v>112.384658589022</v>
      </c>
      <c r="J313" s="34">
        <v>112.540168027158</v>
      </c>
      <c r="K313" s="34">
        <v>113.15406423966</v>
      </c>
      <c r="L313" s="34">
        <v>113.04079175262601</v>
      </c>
      <c r="M313" s="68">
        <v>114.448539423548</v>
      </c>
      <c r="N313" s="21"/>
      <c r="O313" s="21"/>
      <c r="P313" s="21"/>
      <c r="Q313" s="52" t="str">
        <f t="shared" si="4"/>
        <v/>
      </c>
    </row>
    <row r="314" spans="1:17" x14ac:dyDescent="0.3">
      <c r="A314" s="41" t="s">
        <v>187</v>
      </c>
      <c r="B314" s="57" t="s">
        <v>550</v>
      </c>
      <c r="C314" s="46">
        <v>0.39912392815521258</v>
      </c>
      <c r="D314" s="22">
        <v>120.32147115027294</v>
      </c>
      <c r="E314" s="34">
        <v>120.37216074921599</v>
      </c>
      <c r="F314" s="34">
        <v>119.664900945106</v>
      </c>
      <c r="G314" s="34">
        <v>119.65033442294001</v>
      </c>
      <c r="H314" s="35">
        <v>119.794296385965</v>
      </c>
      <c r="I314" s="35">
        <v>119.784862149248</v>
      </c>
      <c r="J314" s="34">
        <v>120.063326268295</v>
      </c>
      <c r="K314" s="34">
        <v>118.639064287274</v>
      </c>
      <c r="L314" s="34">
        <v>118.668056292624</v>
      </c>
      <c r="M314" s="68">
        <v>118.66618875099699</v>
      </c>
      <c r="N314" s="21"/>
      <c r="O314" s="21"/>
      <c r="P314" s="21"/>
      <c r="Q314" s="52" t="str">
        <f t="shared" si="4"/>
        <v/>
      </c>
    </row>
    <row r="315" spans="1:17" x14ac:dyDescent="0.3">
      <c r="A315" s="41"/>
      <c r="B315" s="57"/>
      <c r="C315" s="46" t="s">
        <v>716</v>
      </c>
      <c r="D315" s="22" t="s">
        <v>716</v>
      </c>
      <c r="E315" s="34"/>
      <c r="F315" s="34"/>
      <c r="G315" s="34"/>
      <c r="H315" s="35"/>
      <c r="I315" s="35"/>
      <c r="J315" s="34"/>
      <c r="K315" s="34"/>
      <c r="L315" s="34"/>
      <c r="M315" s="68"/>
      <c r="N315" s="21"/>
      <c r="O315" s="21"/>
      <c r="P315" s="21"/>
      <c r="Q315" s="52" t="str">
        <f t="shared" si="4"/>
        <v/>
      </c>
    </row>
    <row r="316" spans="1:17" x14ac:dyDescent="0.3">
      <c r="A316" s="41" t="s">
        <v>114</v>
      </c>
      <c r="B316" s="57" t="s">
        <v>551</v>
      </c>
      <c r="C316" s="46">
        <v>37.831618483496051</v>
      </c>
      <c r="D316" s="22">
        <v>122.25597980079152</v>
      </c>
      <c r="E316" s="34">
        <v>122.226687764562</v>
      </c>
      <c r="F316" s="34">
        <v>122.395907269484</v>
      </c>
      <c r="G316" s="34">
        <v>122.12941539227999</v>
      </c>
      <c r="H316" s="35">
        <v>121.61877752154599</v>
      </c>
      <c r="I316" s="35">
        <v>121.347438336826</v>
      </c>
      <c r="J316" s="34">
        <v>121.187245983461</v>
      </c>
      <c r="K316" s="34">
        <v>120.88189628132299</v>
      </c>
      <c r="L316" s="34">
        <v>121.09876824396299</v>
      </c>
      <c r="M316" s="68">
        <v>120.94483106331</v>
      </c>
      <c r="N316" s="21"/>
      <c r="O316" s="21"/>
      <c r="P316" s="21"/>
      <c r="Q316" s="52" t="str">
        <f t="shared" si="4"/>
        <v/>
      </c>
    </row>
    <row r="317" spans="1:17" x14ac:dyDescent="0.3">
      <c r="A317" s="41"/>
      <c r="B317" s="57"/>
      <c r="C317" s="46" t="s">
        <v>716</v>
      </c>
      <c r="D317" s="22" t="s">
        <v>716</v>
      </c>
      <c r="E317" s="34"/>
      <c r="F317" s="34"/>
      <c r="G317" s="34"/>
      <c r="H317" s="35"/>
      <c r="I317" s="35"/>
      <c r="J317" s="34"/>
      <c r="K317" s="34"/>
      <c r="L317" s="34"/>
      <c r="M317" s="68"/>
      <c r="N317" s="21"/>
      <c r="O317" s="21"/>
      <c r="P317" s="21"/>
      <c r="Q317" s="52" t="str">
        <f t="shared" si="4"/>
        <v/>
      </c>
    </row>
    <row r="318" spans="1:17" x14ac:dyDescent="0.3">
      <c r="A318" s="41" t="s">
        <v>188</v>
      </c>
      <c r="B318" s="57" t="s">
        <v>552</v>
      </c>
      <c r="C318" s="46">
        <v>1.9979596522354173</v>
      </c>
      <c r="D318" s="22">
        <v>133.55823342865125</v>
      </c>
      <c r="E318" s="34">
        <v>134.01774208331199</v>
      </c>
      <c r="F318" s="34">
        <v>134.892883582558</v>
      </c>
      <c r="G318" s="34">
        <v>135.155165240223</v>
      </c>
      <c r="H318" s="35">
        <v>135.48797951696201</v>
      </c>
      <c r="I318" s="35">
        <v>135.176101240799</v>
      </c>
      <c r="J318" s="34">
        <v>135.176101240799</v>
      </c>
      <c r="K318" s="34">
        <v>135.15254091742901</v>
      </c>
      <c r="L318" s="34">
        <v>135.23297419500301</v>
      </c>
      <c r="M318" s="68">
        <v>135.832520551111</v>
      </c>
      <c r="N318" s="21"/>
      <c r="O318" s="21"/>
      <c r="P318" s="21"/>
      <c r="Q318" s="52" t="str">
        <f t="shared" si="4"/>
        <v/>
      </c>
    </row>
    <row r="319" spans="1:17" x14ac:dyDescent="0.3">
      <c r="A319" s="41" t="s">
        <v>189</v>
      </c>
      <c r="B319" s="57" t="s">
        <v>553</v>
      </c>
      <c r="C319" s="46">
        <v>1.7366256358305949</v>
      </c>
      <c r="D319" s="22">
        <v>121.67338647431235</v>
      </c>
      <c r="E319" s="34">
        <v>121.535200138623</v>
      </c>
      <c r="F319" s="34">
        <v>121.96502409303</v>
      </c>
      <c r="G319" s="34">
        <v>123.185859852958</v>
      </c>
      <c r="H319" s="35">
        <v>123.747944663718</v>
      </c>
      <c r="I319" s="35">
        <v>123.33556800119599</v>
      </c>
      <c r="J319" s="34">
        <v>123.769531620525</v>
      </c>
      <c r="K319" s="34">
        <v>122.684568305604</v>
      </c>
      <c r="L319" s="34">
        <v>122.74701194143699</v>
      </c>
      <c r="M319" s="68">
        <v>122.97532790540799</v>
      </c>
      <c r="N319" s="21"/>
      <c r="O319" s="21"/>
      <c r="P319" s="21"/>
      <c r="Q319" s="52" t="str">
        <f t="shared" si="4"/>
        <v/>
      </c>
    </row>
    <row r="320" spans="1:17" x14ac:dyDescent="0.3">
      <c r="A320" s="41" t="s">
        <v>190</v>
      </c>
      <c r="B320" s="57" t="s">
        <v>554</v>
      </c>
      <c r="C320" s="46">
        <v>8.9551888435310839E-2</v>
      </c>
      <c r="D320" s="22">
        <v>106.60693137170165</v>
      </c>
      <c r="E320" s="34">
        <v>106.005524352206</v>
      </c>
      <c r="F320" s="34">
        <v>106.04860134565401</v>
      </c>
      <c r="G320" s="34">
        <v>107.37833530984101</v>
      </c>
      <c r="H320" s="35">
        <v>106.803064801438</v>
      </c>
      <c r="I320" s="35">
        <v>107.589701202214</v>
      </c>
      <c r="J320" s="34">
        <v>107.171150862826</v>
      </c>
      <c r="K320" s="34">
        <v>105.74529390394299</v>
      </c>
      <c r="L320" s="34">
        <v>105.851453211436</v>
      </c>
      <c r="M320" s="68">
        <v>106.70417342857201</v>
      </c>
      <c r="N320" s="21"/>
      <c r="O320" s="21"/>
      <c r="P320" s="21"/>
      <c r="Q320" s="52" t="str">
        <f t="shared" si="4"/>
        <v/>
      </c>
    </row>
    <row r="321" spans="1:17" x14ac:dyDescent="0.3">
      <c r="A321" s="41"/>
      <c r="B321" s="57"/>
      <c r="C321" s="46" t="s">
        <v>716</v>
      </c>
      <c r="D321" s="22" t="s">
        <v>716</v>
      </c>
      <c r="E321" s="34"/>
      <c r="F321" s="34"/>
      <c r="G321" s="34"/>
      <c r="H321" s="35"/>
      <c r="I321" s="35"/>
      <c r="J321" s="34"/>
      <c r="K321" s="34"/>
      <c r="L321" s="34"/>
      <c r="M321" s="68"/>
      <c r="N321" s="21"/>
      <c r="O321" s="21"/>
      <c r="P321" s="21"/>
      <c r="Q321" s="52" t="str">
        <f t="shared" si="4"/>
        <v/>
      </c>
    </row>
    <row r="322" spans="1:17" x14ac:dyDescent="0.3">
      <c r="A322" s="41" t="s">
        <v>115</v>
      </c>
      <c r="B322" s="57" t="s">
        <v>555</v>
      </c>
      <c r="C322" s="46">
        <v>3.8241371765013228</v>
      </c>
      <c r="D322" s="22">
        <v>127.00594942994094</v>
      </c>
      <c r="E322" s="34">
        <v>127.151964414118</v>
      </c>
      <c r="F322" s="34">
        <v>127.791708868241</v>
      </c>
      <c r="G322" s="34">
        <v>128.537822046423</v>
      </c>
      <c r="H322" s="35">
        <v>128.95356680472</v>
      </c>
      <c r="I322" s="35">
        <v>128.62508583002401</v>
      </c>
      <c r="J322" s="34">
        <v>128.819118518252</v>
      </c>
      <c r="K322" s="34">
        <v>128.25333419286</v>
      </c>
      <c r="L322" s="34">
        <v>128.32585727257501</v>
      </c>
      <c r="M322" s="68">
        <v>128.755746122137</v>
      </c>
      <c r="N322" s="21"/>
      <c r="O322" s="21"/>
      <c r="P322" s="21"/>
      <c r="Q322" s="52" t="str">
        <f t="shared" si="4"/>
        <v/>
      </c>
    </row>
    <row r="323" spans="1:17" x14ac:dyDescent="0.3">
      <c r="A323" s="41"/>
      <c r="B323" s="57"/>
      <c r="C323" s="46" t="s">
        <v>716</v>
      </c>
      <c r="D323" s="22" t="s">
        <v>716</v>
      </c>
      <c r="E323" s="34"/>
      <c r="F323" s="34"/>
      <c r="G323" s="34"/>
      <c r="H323" s="35"/>
      <c r="I323" s="35"/>
      <c r="J323" s="34"/>
      <c r="K323" s="34"/>
      <c r="L323" s="34"/>
      <c r="M323" s="68"/>
      <c r="N323" s="21"/>
      <c r="O323" s="21"/>
      <c r="P323" s="21"/>
      <c r="Q323" s="52" t="str">
        <f t="shared" si="4"/>
        <v/>
      </c>
    </row>
    <row r="324" spans="1:17" x14ac:dyDescent="0.3">
      <c r="A324" s="41" t="s">
        <v>116</v>
      </c>
      <c r="B324" s="57" t="s">
        <v>556</v>
      </c>
      <c r="C324" s="46">
        <v>5.8053358190365092</v>
      </c>
      <c r="D324" s="22">
        <v>130.74601726436941</v>
      </c>
      <c r="E324" s="34">
        <v>128.160572671766</v>
      </c>
      <c r="F324" s="34">
        <v>130.535476173766</v>
      </c>
      <c r="G324" s="34">
        <v>161.94820689171101</v>
      </c>
      <c r="H324" s="35">
        <v>168.685521791002</v>
      </c>
      <c r="I324" s="35">
        <v>154.284511193767</v>
      </c>
      <c r="J324" s="34">
        <v>142.57842655624901</v>
      </c>
      <c r="K324" s="34">
        <v>159.84279598568199</v>
      </c>
      <c r="L324" s="34">
        <v>170.03298477086</v>
      </c>
      <c r="M324" s="68">
        <v>180.138957119797</v>
      </c>
      <c r="N324" s="21"/>
      <c r="O324" s="21"/>
      <c r="P324" s="21"/>
      <c r="Q324" s="52" t="str">
        <f t="shared" si="4"/>
        <v/>
      </c>
    </row>
    <row r="325" spans="1:17" x14ac:dyDescent="0.3">
      <c r="A325" s="41" t="s">
        <v>117</v>
      </c>
      <c r="B325" s="57" t="s">
        <v>557</v>
      </c>
      <c r="C325" s="46">
        <v>46.9008724613022</v>
      </c>
      <c r="D325" s="22">
        <v>120.48237724749062</v>
      </c>
      <c r="E325" s="34">
        <v>118.694384366235</v>
      </c>
      <c r="F325" s="34">
        <v>120.045807343085</v>
      </c>
      <c r="G325" s="34">
        <v>133.76434081157399</v>
      </c>
      <c r="H325" s="35">
        <v>141.390848195648</v>
      </c>
      <c r="I325" s="35">
        <v>144.631048504587</v>
      </c>
      <c r="J325" s="34">
        <v>136.32521341386399</v>
      </c>
      <c r="K325" s="34">
        <v>136.724407272061</v>
      </c>
      <c r="L325" s="34">
        <v>139.05118745309699</v>
      </c>
      <c r="M325" s="68">
        <v>148.47676017082901</v>
      </c>
      <c r="N325" s="21"/>
      <c r="O325" s="21"/>
      <c r="P325" s="21"/>
      <c r="Q325" s="52" t="str">
        <f t="shared" si="4"/>
        <v/>
      </c>
    </row>
    <row r="326" spans="1:17" x14ac:dyDescent="0.3">
      <c r="A326" s="41" t="s">
        <v>191</v>
      </c>
      <c r="B326" s="57" t="s">
        <v>558</v>
      </c>
      <c r="C326" s="46">
        <v>1.3035787794342126</v>
      </c>
      <c r="D326" s="22">
        <v>132.21476510067114</v>
      </c>
      <c r="E326" s="34">
        <v>134.52348993288501</v>
      </c>
      <c r="F326" s="34">
        <v>138.92617449664399</v>
      </c>
      <c r="G326" s="34">
        <v>166.44295302013401</v>
      </c>
      <c r="H326" s="35">
        <v>180.805369127516</v>
      </c>
      <c r="I326" s="35">
        <v>161.34228187919399</v>
      </c>
      <c r="J326" s="34">
        <v>138.65771812080499</v>
      </c>
      <c r="K326" s="34">
        <v>128.99328859060299</v>
      </c>
      <c r="L326" s="34">
        <v>128.99328859060299</v>
      </c>
      <c r="M326" s="68">
        <v>132.885906040268</v>
      </c>
      <c r="N326" s="21"/>
      <c r="O326" s="21"/>
      <c r="P326" s="21"/>
      <c r="Q326" s="52" t="str">
        <f t="shared" si="4"/>
        <v/>
      </c>
    </row>
    <row r="327" spans="1:17" x14ac:dyDescent="0.3">
      <c r="A327" s="41" t="s">
        <v>192</v>
      </c>
      <c r="B327" s="57" t="s">
        <v>559</v>
      </c>
      <c r="C327" s="46">
        <v>1.5401372869487753</v>
      </c>
      <c r="D327" s="22">
        <v>120.90596227932512</v>
      </c>
      <c r="E327" s="34">
        <v>120.948369319099</v>
      </c>
      <c r="F327" s="34">
        <v>119.095223795458</v>
      </c>
      <c r="G327" s="34">
        <v>119.07066560734501</v>
      </c>
      <c r="H327" s="35">
        <v>118.757857235836</v>
      </c>
      <c r="I327" s="35">
        <v>119.092107621861</v>
      </c>
      <c r="J327" s="34">
        <v>119.25537254202</v>
      </c>
      <c r="K327" s="34">
        <v>119.041653864907</v>
      </c>
      <c r="L327" s="34">
        <v>119.12684200032299</v>
      </c>
      <c r="M327" s="68">
        <v>119.28344097477201</v>
      </c>
      <c r="N327" s="21"/>
      <c r="O327" s="21"/>
      <c r="P327" s="21"/>
      <c r="Q327" s="52" t="str">
        <f t="shared" si="4"/>
        <v/>
      </c>
    </row>
    <row r="328" spans="1:17" x14ac:dyDescent="0.3">
      <c r="A328" s="41"/>
      <c r="B328" s="57"/>
      <c r="C328" s="46" t="s">
        <v>716</v>
      </c>
      <c r="D328" s="22" t="s">
        <v>716</v>
      </c>
      <c r="E328" s="34"/>
      <c r="F328" s="34"/>
      <c r="G328" s="34"/>
      <c r="H328" s="35"/>
      <c r="I328" s="35"/>
      <c r="J328" s="34"/>
      <c r="K328" s="34"/>
      <c r="L328" s="34"/>
      <c r="M328" s="68"/>
      <c r="N328" s="21"/>
      <c r="O328" s="21"/>
      <c r="P328" s="21"/>
      <c r="Q328" s="52" t="str">
        <f t="shared" ref="Q328:Q391" si="5">IF(P328="","",AVERAGE(E328:P328))</f>
        <v/>
      </c>
    </row>
    <row r="329" spans="1:17" x14ac:dyDescent="0.3">
      <c r="A329" s="41" t="s">
        <v>118</v>
      </c>
      <c r="B329" s="57" t="s">
        <v>560</v>
      </c>
      <c r="C329" s="46">
        <v>55.549924346721696</v>
      </c>
      <c r="D329" s="22">
        <v>121.30009379768755</v>
      </c>
      <c r="E329" s="34">
        <v>119.580453346553</v>
      </c>
      <c r="F329" s="34">
        <v>121.002709033721</v>
      </c>
      <c r="G329" s="34">
        <v>136.301302179033</v>
      </c>
      <c r="H329" s="35">
        <v>143.73781556882099</v>
      </c>
      <c r="I329" s="35">
        <v>144.68608364935901</v>
      </c>
      <c r="J329" s="34">
        <v>136.007034404694</v>
      </c>
      <c r="K329" s="34">
        <v>137.80623757340999</v>
      </c>
      <c r="L329" s="34">
        <v>140.77444792200299</v>
      </c>
      <c r="M329" s="68">
        <v>149.854483400508</v>
      </c>
      <c r="N329" s="21"/>
      <c r="O329" s="21"/>
      <c r="P329" s="21"/>
      <c r="Q329" s="52" t="str">
        <f t="shared" si="5"/>
        <v/>
      </c>
    </row>
    <row r="330" spans="1:17" x14ac:dyDescent="0.3">
      <c r="A330" s="41"/>
      <c r="B330" s="57"/>
      <c r="C330" s="46" t="s">
        <v>716</v>
      </c>
      <c r="D330" s="22" t="s">
        <v>716</v>
      </c>
      <c r="E330" s="34"/>
      <c r="F330" s="34"/>
      <c r="G330" s="34"/>
      <c r="H330" s="35"/>
      <c r="I330" s="35"/>
      <c r="J330" s="34"/>
      <c r="K330" s="34"/>
      <c r="L330" s="34"/>
      <c r="M330" s="68"/>
      <c r="N330" s="21"/>
      <c r="O330" s="21"/>
      <c r="P330" s="21"/>
      <c r="Q330" s="52" t="str">
        <f t="shared" si="5"/>
        <v/>
      </c>
    </row>
    <row r="331" spans="1:17" x14ac:dyDescent="0.3">
      <c r="A331" s="41" t="s">
        <v>119</v>
      </c>
      <c r="B331" s="57" t="s">
        <v>561</v>
      </c>
      <c r="C331" s="46">
        <v>6.2044174869770998</v>
      </c>
      <c r="D331" s="22">
        <v>118.65341463045641</v>
      </c>
      <c r="E331" s="34">
        <v>119.381431117814</v>
      </c>
      <c r="F331" s="34">
        <v>119.406768675265</v>
      </c>
      <c r="G331" s="34">
        <v>120.277390202796</v>
      </c>
      <c r="H331" s="35">
        <v>120.899562612351</v>
      </c>
      <c r="I331" s="35">
        <v>121.298863939779</v>
      </c>
      <c r="J331" s="34">
        <v>121.93540178306699</v>
      </c>
      <c r="K331" s="34">
        <v>122.093722691734</v>
      </c>
      <c r="L331" s="34">
        <v>122.153626894897</v>
      </c>
      <c r="M331" s="68">
        <v>122.628878282052</v>
      </c>
      <c r="N331" s="21"/>
      <c r="O331" s="21"/>
      <c r="P331" s="21"/>
      <c r="Q331" s="52" t="str">
        <f t="shared" si="5"/>
        <v/>
      </c>
    </row>
    <row r="332" spans="1:17" x14ac:dyDescent="0.3">
      <c r="A332" s="41"/>
      <c r="B332" s="57"/>
      <c r="C332" s="46" t="s">
        <v>716</v>
      </c>
      <c r="D332" s="22" t="s">
        <v>716</v>
      </c>
      <c r="E332" s="34"/>
      <c r="F332" s="34"/>
      <c r="G332" s="34"/>
      <c r="H332" s="35"/>
      <c r="I332" s="35"/>
      <c r="J332" s="34"/>
      <c r="K332" s="34"/>
      <c r="L332" s="34"/>
      <c r="M332" s="68"/>
      <c r="N332" s="21"/>
      <c r="O332" s="21"/>
      <c r="P332" s="21"/>
      <c r="Q332" s="52" t="str">
        <f t="shared" si="5"/>
        <v/>
      </c>
    </row>
    <row r="333" spans="1:17" x14ac:dyDescent="0.3">
      <c r="A333" s="41" t="s">
        <v>120</v>
      </c>
      <c r="B333" s="57" t="s">
        <v>562</v>
      </c>
      <c r="C333" s="46">
        <v>2.4969859211392604</v>
      </c>
      <c r="D333" s="22">
        <v>123.00018965896696</v>
      </c>
      <c r="E333" s="34">
        <v>123.000189658967</v>
      </c>
      <c r="F333" s="34">
        <v>123.111145190698</v>
      </c>
      <c r="G333" s="34">
        <v>129.52569101635299</v>
      </c>
      <c r="H333" s="35">
        <v>129.52569101635299</v>
      </c>
      <c r="I333" s="35">
        <v>129.52569101635299</v>
      </c>
      <c r="J333" s="34">
        <v>129.52569101635299</v>
      </c>
      <c r="K333" s="34">
        <v>130.64104135831499</v>
      </c>
      <c r="L333" s="34">
        <v>130.64104135831499</v>
      </c>
      <c r="M333" s="68">
        <v>130.64104135831499</v>
      </c>
      <c r="N333" s="21"/>
      <c r="O333" s="21"/>
      <c r="P333" s="21"/>
      <c r="Q333" s="52" t="str">
        <f t="shared" si="5"/>
        <v/>
      </c>
    </row>
    <row r="334" spans="1:17" x14ac:dyDescent="0.3">
      <c r="A334" s="41" t="s">
        <v>121</v>
      </c>
      <c r="B334" s="57" t="s">
        <v>563</v>
      </c>
      <c r="C334" s="46">
        <v>10.093688853237614</v>
      </c>
      <c r="D334" s="22">
        <v>99.908739368328952</v>
      </c>
      <c r="E334" s="34">
        <v>100.28667214719199</v>
      </c>
      <c r="F334" s="34">
        <v>100.28667214719199</v>
      </c>
      <c r="G334" s="34">
        <v>100.28667214719199</v>
      </c>
      <c r="H334" s="35">
        <v>100.28667214719199</v>
      </c>
      <c r="I334" s="35">
        <v>100.28667214719199</v>
      </c>
      <c r="J334" s="34">
        <v>100.28667214719199</v>
      </c>
      <c r="K334" s="34">
        <v>100.28667214719199</v>
      </c>
      <c r="L334" s="34">
        <v>100.28667214719199</v>
      </c>
      <c r="M334" s="68">
        <v>100.28667214719199</v>
      </c>
      <c r="N334" s="21"/>
      <c r="O334" s="21"/>
      <c r="P334" s="21"/>
      <c r="Q334" s="52" t="str">
        <f t="shared" si="5"/>
        <v/>
      </c>
    </row>
    <row r="335" spans="1:17" x14ac:dyDescent="0.3">
      <c r="A335" s="41" t="s">
        <v>193</v>
      </c>
      <c r="B335" s="57" t="s">
        <v>564</v>
      </c>
      <c r="C335" s="46">
        <v>0.91335088165943978</v>
      </c>
      <c r="D335" s="22">
        <v>113.94900609240449</v>
      </c>
      <c r="E335" s="34">
        <v>114.175597053552</v>
      </c>
      <c r="F335" s="34">
        <v>114.175597053552</v>
      </c>
      <c r="G335" s="34">
        <v>114.66926235854901</v>
      </c>
      <c r="H335" s="35">
        <v>115.365528900204</v>
      </c>
      <c r="I335" s="35">
        <v>115.891502176318</v>
      </c>
      <c r="J335" s="34">
        <v>115.994605763175</v>
      </c>
      <c r="K335" s="34">
        <v>115.858225334902</v>
      </c>
      <c r="L335" s="34">
        <v>115.858225334902</v>
      </c>
      <c r="M335" s="68">
        <v>115.886741093197</v>
      </c>
      <c r="N335" s="21"/>
      <c r="O335" s="21"/>
      <c r="P335" s="21"/>
      <c r="Q335" s="52" t="str">
        <f t="shared" si="5"/>
        <v/>
      </c>
    </row>
    <row r="336" spans="1:17" x14ac:dyDescent="0.3">
      <c r="A336" s="41" t="s">
        <v>275</v>
      </c>
      <c r="B336" s="57" t="s">
        <v>565</v>
      </c>
      <c r="C336" s="46">
        <v>0.22977059903993943</v>
      </c>
      <c r="D336" s="22">
        <v>180.35603971653171</v>
      </c>
      <c r="E336" s="34">
        <v>182.71336911351599</v>
      </c>
      <c r="F336" s="34">
        <v>184.625919939319</v>
      </c>
      <c r="G336" s="34">
        <v>179.977300013845</v>
      </c>
      <c r="H336" s="35">
        <v>178.99033966513201</v>
      </c>
      <c r="I336" s="35">
        <v>187.906715766622</v>
      </c>
      <c r="J336" s="34">
        <v>201.88022456427601</v>
      </c>
      <c r="K336" s="34">
        <v>265.58188299910302</v>
      </c>
      <c r="L336" s="34">
        <v>279.86216023663002</v>
      </c>
      <c r="M336" s="68">
        <v>233.70200242349199</v>
      </c>
      <c r="N336" s="21"/>
      <c r="O336" s="21"/>
      <c r="P336" s="21"/>
      <c r="Q336" s="52" t="str">
        <f t="shared" si="5"/>
        <v/>
      </c>
    </row>
    <row r="337" spans="1:17" x14ac:dyDescent="0.3">
      <c r="A337" s="41"/>
      <c r="B337" s="57"/>
      <c r="C337" s="46" t="s">
        <v>716</v>
      </c>
      <c r="D337" s="22" t="s">
        <v>716</v>
      </c>
      <c r="E337" s="34"/>
      <c r="F337" s="34"/>
      <c r="G337" s="34"/>
      <c r="H337" s="35"/>
      <c r="I337" s="35"/>
      <c r="J337" s="34"/>
      <c r="K337" s="34"/>
      <c r="L337" s="34"/>
      <c r="M337" s="68"/>
      <c r="N337" s="21"/>
      <c r="O337" s="21"/>
      <c r="P337" s="21"/>
      <c r="Q337" s="52" t="str">
        <f t="shared" si="5"/>
        <v/>
      </c>
    </row>
    <row r="338" spans="1:17" x14ac:dyDescent="0.3">
      <c r="A338" s="41" t="s">
        <v>122</v>
      </c>
      <c r="B338" s="57" t="s">
        <v>566</v>
      </c>
      <c r="C338" s="46">
        <v>13.733796255076255</v>
      </c>
      <c r="D338" s="22">
        <v>106.04625213141247</v>
      </c>
      <c r="E338" s="34">
        <v>106.37829153086901</v>
      </c>
      <c r="F338" s="34">
        <v>106.41449812486</v>
      </c>
      <c r="G338" s="34">
        <v>107.404820175062</v>
      </c>
      <c r="H338" s="35">
        <v>107.43820437871901</v>
      </c>
      <c r="I338" s="35">
        <v>107.55846928259299</v>
      </c>
      <c r="J338" s="34">
        <v>107.702309778139</v>
      </c>
      <c r="K338" s="34">
        <v>108.495344762914</v>
      </c>
      <c r="L338" s="34">
        <v>108.635821732243</v>
      </c>
      <c r="M338" s="68">
        <v>108.183503062331</v>
      </c>
      <c r="N338" s="21"/>
      <c r="O338" s="21"/>
      <c r="P338" s="21"/>
      <c r="Q338" s="52" t="str">
        <f t="shared" si="5"/>
        <v/>
      </c>
    </row>
    <row r="339" spans="1:17" x14ac:dyDescent="0.3">
      <c r="A339" s="41"/>
      <c r="B339" s="57"/>
      <c r="C339" s="46" t="s">
        <v>716</v>
      </c>
      <c r="D339" s="22" t="s">
        <v>716</v>
      </c>
      <c r="E339" s="34"/>
      <c r="F339" s="34"/>
      <c r="G339" s="34"/>
      <c r="H339" s="35"/>
      <c r="I339" s="35"/>
      <c r="J339" s="34"/>
      <c r="K339" s="34"/>
      <c r="L339" s="34"/>
      <c r="M339" s="68"/>
      <c r="N339" s="21"/>
      <c r="O339" s="21"/>
      <c r="P339" s="21"/>
      <c r="Q339" s="52" t="str">
        <f t="shared" si="5"/>
        <v/>
      </c>
    </row>
    <row r="340" spans="1:17" x14ac:dyDescent="0.3">
      <c r="A340" s="41" t="s">
        <v>123</v>
      </c>
      <c r="B340" s="57" t="s">
        <v>567</v>
      </c>
      <c r="C340" s="46">
        <v>79.312275265276369</v>
      </c>
      <c r="D340" s="22">
        <v>116.8752003033299</v>
      </c>
      <c r="E340" s="34">
        <v>115.84065265984501</v>
      </c>
      <c r="F340" s="34">
        <v>116.837703145988</v>
      </c>
      <c r="G340" s="34">
        <v>127.451076108268</v>
      </c>
      <c r="H340" s="35">
        <v>132.54233252931701</v>
      </c>
      <c r="I340" s="35">
        <v>133.22141218642301</v>
      </c>
      <c r="J340" s="34">
        <v>127.449504615425</v>
      </c>
      <c r="K340" s="34">
        <v>128.80212963800199</v>
      </c>
      <c r="L340" s="34">
        <v>130.83985565966901</v>
      </c>
      <c r="M340" s="68">
        <v>136.936848728608</v>
      </c>
      <c r="N340" s="21"/>
      <c r="O340" s="21"/>
      <c r="P340" s="21"/>
      <c r="Q340" s="52" t="str">
        <f t="shared" si="5"/>
        <v/>
      </c>
    </row>
    <row r="341" spans="1:17" x14ac:dyDescent="0.3">
      <c r="A341" s="41"/>
      <c r="B341" s="57"/>
      <c r="C341" s="46" t="s">
        <v>716</v>
      </c>
      <c r="D341" s="22" t="s">
        <v>716</v>
      </c>
      <c r="E341" s="34"/>
      <c r="F341" s="34"/>
      <c r="G341" s="34"/>
      <c r="H341" s="35"/>
      <c r="I341" s="35"/>
      <c r="J341" s="34"/>
      <c r="K341" s="34"/>
      <c r="L341" s="34"/>
      <c r="M341" s="68"/>
      <c r="N341" s="21"/>
      <c r="O341" s="21"/>
      <c r="P341" s="21"/>
      <c r="Q341" s="52" t="str">
        <f t="shared" si="5"/>
        <v/>
      </c>
    </row>
    <row r="342" spans="1:17" x14ac:dyDescent="0.3">
      <c r="A342" s="41" t="s">
        <v>194</v>
      </c>
      <c r="B342" s="57" t="s">
        <v>568</v>
      </c>
      <c r="C342" s="46">
        <v>0.1078993744865847</v>
      </c>
      <c r="D342" s="22">
        <v>94.570626686871776</v>
      </c>
      <c r="E342" s="34">
        <v>94.570626686871805</v>
      </c>
      <c r="F342" s="34">
        <v>94.570626686871805</v>
      </c>
      <c r="G342" s="34">
        <v>94.570626686871805</v>
      </c>
      <c r="H342" s="35">
        <v>94.570626686871805</v>
      </c>
      <c r="I342" s="35">
        <v>94.570626686871805</v>
      </c>
      <c r="J342" s="34">
        <v>94.570626686871805</v>
      </c>
      <c r="K342" s="34">
        <v>94.570626686871805</v>
      </c>
      <c r="L342" s="34">
        <v>94.570626686871805</v>
      </c>
      <c r="M342" s="68">
        <v>94.570626686871805</v>
      </c>
      <c r="N342" s="21"/>
      <c r="O342" s="21"/>
      <c r="P342" s="21"/>
      <c r="Q342" s="52" t="str">
        <f t="shared" si="5"/>
        <v/>
      </c>
    </row>
    <row r="343" spans="1:17" x14ac:dyDescent="0.3">
      <c r="A343" s="41" t="s">
        <v>227</v>
      </c>
      <c r="B343" s="57" t="s">
        <v>569</v>
      </c>
      <c r="C343" s="46">
        <v>6.8146973359948251E-2</v>
      </c>
      <c r="D343" s="22">
        <v>94.454671994971065</v>
      </c>
      <c r="E343" s="34">
        <v>94.454671994971093</v>
      </c>
      <c r="F343" s="34">
        <v>94.454671994971093</v>
      </c>
      <c r="G343" s="34">
        <v>94.454671994971093</v>
      </c>
      <c r="H343" s="35">
        <v>94.454671994971093</v>
      </c>
      <c r="I343" s="35">
        <v>94.454671994971093</v>
      </c>
      <c r="J343" s="34">
        <v>94.454671994971093</v>
      </c>
      <c r="K343" s="34">
        <v>94.454671994971093</v>
      </c>
      <c r="L343" s="34">
        <v>94.454671994971093</v>
      </c>
      <c r="M343" s="68">
        <v>94.454671994971093</v>
      </c>
      <c r="N343" s="21"/>
      <c r="O343" s="21"/>
      <c r="P343" s="21"/>
      <c r="Q343" s="52" t="str">
        <f t="shared" si="5"/>
        <v/>
      </c>
    </row>
    <row r="344" spans="1:17" x14ac:dyDescent="0.3">
      <c r="A344" s="41"/>
      <c r="B344" s="57"/>
      <c r="C344" s="46" t="s">
        <v>716</v>
      </c>
      <c r="D344" s="22" t="s">
        <v>716</v>
      </c>
      <c r="E344" s="34"/>
      <c r="F344" s="34"/>
      <c r="G344" s="34"/>
      <c r="H344" s="35"/>
      <c r="I344" s="35"/>
      <c r="J344" s="34"/>
      <c r="K344" s="34"/>
      <c r="L344" s="34"/>
      <c r="M344" s="68"/>
      <c r="N344" s="21"/>
      <c r="O344" s="21"/>
      <c r="P344" s="21"/>
      <c r="Q344" s="52" t="str">
        <f t="shared" si="5"/>
        <v/>
      </c>
    </row>
    <row r="345" spans="1:17" x14ac:dyDescent="0.3">
      <c r="A345" s="41" t="s">
        <v>124</v>
      </c>
      <c r="B345" s="57" t="s">
        <v>570</v>
      </c>
      <c r="C345" s="46">
        <v>0.17604634784653295</v>
      </c>
      <c r="D345" s="22">
        <v>94.477530106546652</v>
      </c>
      <c r="E345" s="34">
        <v>94.477530106546695</v>
      </c>
      <c r="F345" s="34">
        <v>94.477530106546695</v>
      </c>
      <c r="G345" s="34">
        <v>94.477530106546695</v>
      </c>
      <c r="H345" s="35">
        <v>94.477530106546695</v>
      </c>
      <c r="I345" s="35">
        <v>94.477530106546695</v>
      </c>
      <c r="J345" s="34">
        <v>94.477530106546695</v>
      </c>
      <c r="K345" s="34">
        <v>94.477530106546695</v>
      </c>
      <c r="L345" s="34">
        <v>94.477530106546695</v>
      </c>
      <c r="M345" s="68">
        <v>94.477530106546695</v>
      </c>
      <c r="N345" s="21"/>
      <c r="O345" s="21"/>
      <c r="P345" s="21"/>
      <c r="Q345" s="52" t="str">
        <f t="shared" si="5"/>
        <v/>
      </c>
    </row>
    <row r="346" spans="1:17" x14ac:dyDescent="0.3">
      <c r="A346" s="41"/>
      <c r="B346" s="57"/>
      <c r="C346" s="46" t="s">
        <v>716</v>
      </c>
      <c r="D346" s="22" t="s">
        <v>716</v>
      </c>
      <c r="E346" s="34"/>
      <c r="F346" s="34"/>
      <c r="G346" s="34"/>
      <c r="H346" s="35"/>
      <c r="I346" s="35"/>
      <c r="J346" s="34"/>
      <c r="K346" s="34"/>
      <c r="L346" s="34"/>
      <c r="M346" s="68"/>
      <c r="N346" s="21"/>
      <c r="O346" s="21"/>
      <c r="P346" s="21"/>
      <c r="Q346" s="52" t="str">
        <f t="shared" si="5"/>
        <v/>
      </c>
    </row>
    <row r="347" spans="1:17" x14ac:dyDescent="0.3">
      <c r="A347" s="41" t="s">
        <v>125</v>
      </c>
      <c r="B347" s="57" t="s">
        <v>571</v>
      </c>
      <c r="C347" s="46">
        <v>1.0976447312185087</v>
      </c>
      <c r="D347" s="22">
        <v>99.31234741277818</v>
      </c>
      <c r="E347" s="34">
        <v>99.359627026459904</v>
      </c>
      <c r="F347" s="34">
        <v>99.427900020562006</v>
      </c>
      <c r="G347" s="34">
        <v>106.42786623582499</v>
      </c>
      <c r="H347" s="35">
        <v>106.603812184685</v>
      </c>
      <c r="I347" s="35">
        <v>106.603812184685</v>
      </c>
      <c r="J347" s="34">
        <v>106.78675185742701</v>
      </c>
      <c r="K347" s="34">
        <v>106.870253929059</v>
      </c>
      <c r="L347" s="34">
        <v>106.870253929059</v>
      </c>
      <c r="M347" s="68">
        <v>106.969431423147</v>
      </c>
      <c r="N347" s="21"/>
      <c r="O347" s="21"/>
      <c r="P347" s="21"/>
      <c r="Q347" s="52" t="str">
        <f t="shared" si="5"/>
        <v/>
      </c>
    </row>
    <row r="348" spans="1:17" x14ac:dyDescent="0.3">
      <c r="A348" s="41" t="s">
        <v>126</v>
      </c>
      <c r="B348" s="57" t="s">
        <v>572</v>
      </c>
      <c r="C348" s="46">
        <v>1.5673803872788084</v>
      </c>
      <c r="D348" s="22">
        <v>128.43404277592512</v>
      </c>
      <c r="E348" s="34">
        <v>128.43404277592501</v>
      </c>
      <c r="F348" s="34">
        <v>128.43404277592501</v>
      </c>
      <c r="G348" s="34">
        <v>128.43404277592501</v>
      </c>
      <c r="H348" s="35">
        <v>128.43404277592501</v>
      </c>
      <c r="I348" s="35">
        <v>128.43404277592501</v>
      </c>
      <c r="J348" s="34">
        <v>128.43404277592501</v>
      </c>
      <c r="K348" s="34">
        <v>128.43404277592501</v>
      </c>
      <c r="L348" s="34">
        <v>128.43404277592501</v>
      </c>
      <c r="M348" s="68">
        <v>128.549633414423</v>
      </c>
      <c r="N348" s="21"/>
      <c r="O348" s="21"/>
      <c r="P348" s="21"/>
      <c r="Q348" s="52" t="str">
        <f t="shared" si="5"/>
        <v/>
      </c>
    </row>
    <row r="349" spans="1:17" x14ac:dyDescent="0.3">
      <c r="A349" s="41"/>
      <c r="B349" s="57"/>
      <c r="C349" s="46" t="s">
        <v>716</v>
      </c>
      <c r="D349" s="22" t="s">
        <v>716</v>
      </c>
      <c r="E349" s="34"/>
      <c r="F349" s="34"/>
      <c r="G349" s="34"/>
      <c r="H349" s="35"/>
      <c r="I349" s="35"/>
      <c r="J349" s="34"/>
      <c r="K349" s="34"/>
      <c r="L349" s="34"/>
      <c r="M349" s="68"/>
      <c r="N349" s="21"/>
      <c r="O349" s="21"/>
      <c r="P349" s="21"/>
      <c r="Q349" s="52" t="str">
        <f t="shared" si="5"/>
        <v/>
      </c>
    </row>
    <row r="350" spans="1:17" x14ac:dyDescent="0.3">
      <c r="A350" s="41" t="s">
        <v>195</v>
      </c>
      <c r="B350" s="57" t="s">
        <v>573</v>
      </c>
      <c r="C350" s="46">
        <v>2.6650251184973168</v>
      </c>
      <c r="D350" s="22">
        <v>113.00069844296598</v>
      </c>
      <c r="E350" s="34">
        <v>113.02285551094801</v>
      </c>
      <c r="F350" s="34">
        <v>113.054850894453</v>
      </c>
      <c r="G350" s="34">
        <v>116.33530763318799</v>
      </c>
      <c r="H350" s="35">
        <v>116.417762755947</v>
      </c>
      <c r="I350" s="35">
        <v>116.417762755947</v>
      </c>
      <c r="J350" s="34">
        <v>116.50349541004501</v>
      </c>
      <c r="K350" s="34">
        <v>116.542627732282</v>
      </c>
      <c r="L350" s="34">
        <v>116.542627732282</v>
      </c>
      <c r="M350" s="68">
        <v>116.64891932667101</v>
      </c>
      <c r="N350" s="21"/>
      <c r="O350" s="21"/>
      <c r="P350" s="21"/>
      <c r="Q350" s="52" t="str">
        <f t="shared" si="5"/>
        <v/>
      </c>
    </row>
    <row r="351" spans="1:17" x14ac:dyDescent="0.3">
      <c r="A351" s="41"/>
      <c r="B351" s="57"/>
      <c r="C351" s="46" t="s">
        <v>716</v>
      </c>
      <c r="D351" s="22" t="s">
        <v>716</v>
      </c>
      <c r="E351" s="34"/>
      <c r="F351" s="34"/>
      <c r="G351" s="34"/>
      <c r="H351" s="35"/>
      <c r="I351" s="35"/>
      <c r="J351" s="34"/>
      <c r="K351" s="34"/>
      <c r="L351" s="34"/>
      <c r="M351" s="68"/>
      <c r="N351" s="21"/>
      <c r="O351" s="21"/>
      <c r="P351" s="21"/>
      <c r="Q351" s="52" t="str">
        <f t="shared" si="5"/>
        <v/>
      </c>
    </row>
    <row r="352" spans="1:17" x14ac:dyDescent="0.3">
      <c r="A352" s="41" t="s">
        <v>196</v>
      </c>
      <c r="B352" s="57" t="s">
        <v>574</v>
      </c>
      <c r="C352" s="46">
        <v>4.8251648253726067</v>
      </c>
      <c r="D352" s="22">
        <v>175.2742674887769</v>
      </c>
      <c r="E352" s="34">
        <v>182.72342385704999</v>
      </c>
      <c r="F352" s="34">
        <v>144.95449214579801</v>
      </c>
      <c r="G352" s="34">
        <v>191.42690232774001</v>
      </c>
      <c r="H352" s="35">
        <v>246.80670517115601</v>
      </c>
      <c r="I352" s="35">
        <v>205.39254004343599</v>
      </c>
      <c r="J352" s="34">
        <v>217.51069990599899</v>
      </c>
      <c r="K352" s="34">
        <v>242.91594965501901</v>
      </c>
      <c r="L352" s="34">
        <v>293.73396632284903</v>
      </c>
      <c r="M352" s="68">
        <v>271.26331789915099</v>
      </c>
      <c r="N352" s="21"/>
      <c r="O352" s="21"/>
      <c r="P352" s="21"/>
      <c r="Q352" s="52" t="str">
        <f t="shared" si="5"/>
        <v/>
      </c>
    </row>
    <row r="353" spans="1:17" x14ac:dyDescent="0.3">
      <c r="A353" s="41" t="s">
        <v>197</v>
      </c>
      <c r="B353" s="57" t="s">
        <v>575</v>
      </c>
      <c r="C353" s="46">
        <v>9.3348390024354408</v>
      </c>
      <c r="D353" s="22">
        <v>292.07724529201386</v>
      </c>
      <c r="E353" s="34">
        <v>265.61504686855699</v>
      </c>
      <c r="F353" s="34">
        <v>225.40092877265801</v>
      </c>
      <c r="G353" s="34">
        <v>276.97266127584197</v>
      </c>
      <c r="H353" s="35">
        <v>299.46284137143999</v>
      </c>
      <c r="I353" s="35">
        <v>273.52935930867397</v>
      </c>
      <c r="J353" s="34">
        <v>289.66759150788499</v>
      </c>
      <c r="K353" s="34">
        <v>333.26256402982102</v>
      </c>
      <c r="L353" s="34">
        <v>350.62554361577497</v>
      </c>
      <c r="M353" s="68">
        <v>337.406960621461</v>
      </c>
      <c r="N353" s="21"/>
      <c r="O353" s="21"/>
      <c r="P353" s="21"/>
      <c r="Q353" s="52" t="str">
        <f t="shared" si="5"/>
        <v/>
      </c>
    </row>
    <row r="354" spans="1:17" x14ac:dyDescent="0.3">
      <c r="A354" s="41"/>
      <c r="B354" s="57"/>
      <c r="C354" s="46" t="s">
        <v>716</v>
      </c>
      <c r="D354" s="22" t="s">
        <v>716</v>
      </c>
      <c r="E354" s="34"/>
      <c r="F354" s="34"/>
      <c r="G354" s="34"/>
      <c r="H354" s="35"/>
      <c r="I354" s="35"/>
      <c r="J354" s="34"/>
      <c r="K354" s="34"/>
      <c r="L354" s="34"/>
      <c r="M354" s="68"/>
      <c r="N354" s="21"/>
      <c r="O354" s="21"/>
      <c r="P354" s="21"/>
      <c r="Q354" s="52" t="str">
        <f t="shared" si="5"/>
        <v/>
      </c>
    </row>
    <row r="355" spans="1:17" x14ac:dyDescent="0.3">
      <c r="A355" s="41" t="s">
        <v>127</v>
      </c>
      <c r="B355" s="57" t="s">
        <v>576</v>
      </c>
      <c r="C355" s="46">
        <v>14.160003827808048</v>
      </c>
      <c r="D355" s="22">
        <v>251.57488143876327</v>
      </c>
      <c r="E355" s="34">
        <v>240.19241971641799</v>
      </c>
      <c r="F355" s="34">
        <v>198.88512221916301</v>
      </c>
      <c r="G355" s="34">
        <v>250.89840853875401</v>
      </c>
      <c r="H355" s="35">
        <v>290.75512733945197</v>
      </c>
      <c r="I355" s="35">
        <v>255.77381944374301</v>
      </c>
      <c r="J355" s="34">
        <v>270.864474790923</v>
      </c>
      <c r="K355" s="34">
        <v>308.04441921426701</v>
      </c>
      <c r="L355" s="34">
        <v>342.75862458206501</v>
      </c>
      <c r="M355" s="68">
        <v>324.26240843411603</v>
      </c>
      <c r="N355" s="21"/>
      <c r="O355" s="21"/>
      <c r="P355" s="21"/>
      <c r="Q355" s="52" t="str">
        <f t="shared" si="5"/>
        <v/>
      </c>
    </row>
    <row r="356" spans="1:17" x14ac:dyDescent="0.3">
      <c r="A356" s="41"/>
      <c r="B356" s="57"/>
      <c r="C356" s="46" t="s">
        <v>716</v>
      </c>
      <c r="D356" s="22" t="s">
        <v>716</v>
      </c>
      <c r="E356" s="34"/>
      <c r="F356" s="34"/>
      <c r="G356" s="34"/>
      <c r="H356" s="35"/>
      <c r="I356" s="35"/>
      <c r="J356" s="34"/>
      <c r="K356" s="34"/>
      <c r="L356" s="34"/>
      <c r="M356" s="68"/>
      <c r="N356" s="21"/>
      <c r="O356" s="21"/>
      <c r="P356" s="21"/>
      <c r="Q356" s="52" t="str">
        <f t="shared" si="5"/>
        <v/>
      </c>
    </row>
    <row r="357" spans="1:17" x14ac:dyDescent="0.3">
      <c r="A357" s="41" t="s">
        <v>128</v>
      </c>
      <c r="B357" s="57" t="s">
        <v>577</v>
      </c>
      <c r="C357" s="46">
        <v>1.2935155558052693</v>
      </c>
      <c r="D357" s="22">
        <v>137.67537772063022</v>
      </c>
      <c r="E357" s="34">
        <v>137.67537772063</v>
      </c>
      <c r="F357" s="34">
        <v>137.67537772063</v>
      </c>
      <c r="G357" s="34">
        <v>137.67537772063</v>
      </c>
      <c r="H357" s="35">
        <v>137.67537772063</v>
      </c>
      <c r="I357" s="35">
        <v>137.67537772063</v>
      </c>
      <c r="J357" s="34">
        <v>137.95222432000901</v>
      </c>
      <c r="K357" s="34">
        <v>137.95222432000901</v>
      </c>
      <c r="L357" s="34">
        <v>137.95222432000901</v>
      </c>
      <c r="M357" s="68">
        <v>137.95222432000901</v>
      </c>
      <c r="N357" s="21"/>
      <c r="O357" s="21"/>
      <c r="P357" s="21"/>
      <c r="Q357" s="52" t="str">
        <f t="shared" si="5"/>
        <v/>
      </c>
    </row>
    <row r="358" spans="1:17" x14ac:dyDescent="0.3">
      <c r="A358" s="41" t="s">
        <v>129</v>
      </c>
      <c r="B358" s="57" t="s">
        <v>578</v>
      </c>
      <c r="C358" s="46">
        <v>4.1228918882768681</v>
      </c>
      <c r="D358" s="22">
        <v>94.454671994971036</v>
      </c>
      <c r="E358" s="34">
        <v>94.454671994970994</v>
      </c>
      <c r="F358" s="34">
        <v>94.454671994970994</v>
      </c>
      <c r="G358" s="34">
        <v>94.454671994970994</v>
      </c>
      <c r="H358" s="35">
        <v>94.454671994970994</v>
      </c>
      <c r="I358" s="35">
        <v>94.454671994970994</v>
      </c>
      <c r="J358" s="34">
        <v>94.454671994970994</v>
      </c>
      <c r="K358" s="34">
        <v>94.454671994970994</v>
      </c>
      <c r="L358" s="34">
        <v>94.454671994970994</v>
      </c>
      <c r="M358" s="68">
        <v>94.454671994970994</v>
      </c>
      <c r="N358" s="21"/>
      <c r="O358" s="21"/>
      <c r="P358" s="21"/>
      <c r="Q358" s="52" t="str">
        <f t="shared" si="5"/>
        <v/>
      </c>
    </row>
    <row r="359" spans="1:17" x14ac:dyDescent="0.3">
      <c r="A359" s="41"/>
      <c r="B359" s="57"/>
      <c r="C359" s="46" t="s">
        <v>716</v>
      </c>
      <c r="D359" s="22" t="s">
        <v>716</v>
      </c>
      <c r="E359" s="34"/>
      <c r="F359" s="34"/>
      <c r="G359" s="34"/>
      <c r="H359" s="35"/>
      <c r="I359" s="35"/>
      <c r="J359" s="34"/>
      <c r="K359" s="34"/>
      <c r="L359" s="34"/>
      <c r="M359" s="68"/>
      <c r="N359" s="21"/>
      <c r="O359" s="21"/>
      <c r="P359" s="21"/>
      <c r="Q359" s="52" t="str">
        <f t="shared" si="5"/>
        <v/>
      </c>
    </row>
    <row r="360" spans="1:17" x14ac:dyDescent="0.3">
      <c r="A360" s="41" t="s">
        <v>130</v>
      </c>
      <c r="B360" s="57" t="s">
        <v>579</v>
      </c>
      <c r="C360" s="46">
        <v>22.417482738234032</v>
      </c>
      <c r="D360" s="22">
        <v>167.54321549558495</v>
      </c>
      <c r="E360" s="34">
        <v>162.75892082106</v>
      </c>
      <c r="F360" s="34">
        <v>145.388037443938</v>
      </c>
      <c r="G360" s="34">
        <v>167.84641410686501</v>
      </c>
      <c r="H360" s="35">
        <v>184.627263538873</v>
      </c>
      <c r="I360" s="35">
        <v>169.91186125199599</v>
      </c>
      <c r="J360" s="34">
        <v>176.294519028021</v>
      </c>
      <c r="K360" s="34">
        <v>191.94170771148401</v>
      </c>
      <c r="L360" s="34">
        <v>206.54474938675199</v>
      </c>
      <c r="M360" s="68">
        <v>198.782778929519</v>
      </c>
      <c r="N360" s="21"/>
      <c r="O360" s="21"/>
      <c r="P360" s="21"/>
      <c r="Q360" s="52" t="str">
        <f t="shared" si="5"/>
        <v/>
      </c>
    </row>
    <row r="361" spans="1:17" x14ac:dyDescent="0.3">
      <c r="A361" s="41"/>
      <c r="B361" s="57"/>
      <c r="C361" s="46" t="s">
        <v>716</v>
      </c>
      <c r="D361" s="22" t="s">
        <v>716</v>
      </c>
      <c r="E361" s="34"/>
      <c r="F361" s="34"/>
      <c r="G361" s="34"/>
      <c r="H361" s="35"/>
      <c r="I361" s="35"/>
      <c r="J361" s="34"/>
      <c r="K361" s="34"/>
      <c r="L361" s="34"/>
      <c r="M361" s="68"/>
      <c r="N361" s="21"/>
      <c r="O361" s="21"/>
      <c r="P361" s="21"/>
      <c r="Q361" s="52" t="str">
        <f t="shared" si="5"/>
        <v/>
      </c>
    </row>
    <row r="362" spans="1:17" x14ac:dyDescent="0.3">
      <c r="A362" s="41" t="s">
        <v>276</v>
      </c>
      <c r="B362" s="57" t="s">
        <v>580</v>
      </c>
      <c r="C362" s="46">
        <v>0.23283549231315651</v>
      </c>
      <c r="D362" s="22">
        <v>137.21750956902162</v>
      </c>
      <c r="E362" s="34">
        <v>137.21750956902201</v>
      </c>
      <c r="F362" s="34">
        <v>137.21750956902201</v>
      </c>
      <c r="G362" s="34">
        <v>137.21750956902201</v>
      </c>
      <c r="H362" s="35">
        <v>137.21750956902201</v>
      </c>
      <c r="I362" s="35">
        <v>137.21750956902201</v>
      </c>
      <c r="J362" s="34">
        <v>137.21750956902201</v>
      </c>
      <c r="K362" s="34">
        <v>137.21750956902201</v>
      </c>
      <c r="L362" s="34">
        <v>137.21750956902201</v>
      </c>
      <c r="M362" s="68">
        <v>137.21750956902201</v>
      </c>
      <c r="N362" s="21"/>
      <c r="O362" s="21"/>
      <c r="P362" s="21"/>
      <c r="Q362" s="52" t="str">
        <f t="shared" si="5"/>
        <v/>
      </c>
    </row>
    <row r="363" spans="1:17" x14ac:dyDescent="0.3">
      <c r="A363" s="41" t="s">
        <v>277</v>
      </c>
      <c r="B363" s="57" t="s">
        <v>581</v>
      </c>
      <c r="C363" s="46">
        <v>1.2152876915857429</v>
      </c>
      <c r="D363" s="22">
        <v>100.13999999999996</v>
      </c>
      <c r="E363" s="34">
        <v>100.49048999999999</v>
      </c>
      <c r="F363" s="34">
        <v>100.49048999999999</v>
      </c>
      <c r="G363" s="34">
        <v>100.49048999999999</v>
      </c>
      <c r="H363" s="35">
        <v>100.49048999999999</v>
      </c>
      <c r="I363" s="35">
        <v>100.49048999999999</v>
      </c>
      <c r="J363" s="34">
        <v>100.49048999999999</v>
      </c>
      <c r="K363" s="34">
        <v>100.49048999999999</v>
      </c>
      <c r="L363" s="34">
        <v>100.49048999999999</v>
      </c>
      <c r="M363" s="68">
        <v>100.49048999999999</v>
      </c>
      <c r="N363" s="21"/>
      <c r="O363" s="21"/>
      <c r="P363" s="21"/>
      <c r="Q363" s="52" t="str">
        <f t="shared" si="5"/>
        <v/>
      </c>
    </row>
    <row r="364" spans="1:17" x14ac:dyDescent="0.3">
      <c r="A364" s="41"/>
      <c r="B364" s="57"/>
      <c r="C364" s="46" t="s">
        <v>716</v>
      </c>
      <c r="D364" s="22" t="s">
        <v>716</v>
      </c>
      <c r="E364" s="34"/>
      <c r="F364" s="34"/>
      <c r="G364" s="34"/>
      <c r="H364" s="35"/>
      <c r="I364" s="35"/>
      <c r="J364" s="34"/>
      <c r="K364" s="34"/>
      <c r="L364" s="34"/>
      <c r="M364" s="68"/>
      <c r="N364" s="21"/>
      <c r="O364" s="21"/>
      <c r="P364" s="21"/>
      <c r="Q364" s="52" t="str">
        <f t="shared" si="5"/>
        <v/>
      </c>
    </row>
    <row r="365" spans="1:17" x14ac:dyDescent="0.3">
      <c r="A365" s="41" t="s">
        <v>278</v>
      </c>
      <c r="B365" s="57" t="s">
        <v>582</v>
      </c>
      <c r="C365" s="46">
        <v>1.4481231838988995</v>
      </c>
      <c r="D365" s="22">
        <v>124.71365971769144</v>
      </c>
      <c r="E365" s="34">
        <v>125.079975526038</v>
      </c>
      <c r="F365" s="34">
        <v>125.079975526038</v>
      </c>
      <c r="G365" s="34">
        <v>125.079975526038</v>
      </c>
      <c r="H365" s="35">
        <v>125.079975526038</v>
      </c>
      <c r="I365" s="35">
        <v>125.079975526038</v>
      </c>
      <c r="J365" s="34">
        <v>125.079975526038</v>
      </c>
      <c r="K365" s="34">
        <v>125.079975526038</v>
      </c>
      <c r="L365" s="34">
        <v>125.079975526038</v>
      </c>
      <c r="M365" s="68">
        <v>125.079975526038</v>
      </c>
      <c r="N365" s="21"/>
      <c r="O365" s="21"/>
      <c r="P365" s="21"/>
      <c r="Q365" s="52" t="str">
        <f t="shared" si="5"/>
        <v/>
      </c>
    </row>
    <row r="366" spans="1:17" x14ac:dyDescent="0.3">
      <c r="A366" s="41"/>
      <c r="B366" s="57"/>
      <c r="C366" s="46" t="s">
        <v>716</v>
      </c>
      <c r="D366" s="22" t="s">
        <v>716</v>
      </c>
      <c r="E366" s="34"/>
      <c r="F366" s="34"/>
      <c r="G366" s="34"/>
      <c r="H366" s="35"/>
      <c r="I366" s="35"/>
      <c r="J366" s="34"/>
      <c r="K366" s="34"/>
      <c r="L366" s="34"/>
      <c r="M366" s="68"/>
      <c r="N366" s="21"/>
      <c r="O366" s="21"/>
      <c r="P366" s="21"/>
      <c r="Q366" s="52" t="str">
        <f t="shared" si="5"/>
        <v/>
      </c>
    </row>
    <row r="367" spans="1:17" x14ac:dyDescent="0.3">
      <c r="A367" s="41" t="s">
        <v>279</v>
      </c>
      <c r="B367" s="57" t="s">
        <v>583</v>
      </c>
      <c r="C367" s="46">
        <v>7.7450911567291336E-2</v>
      </c>
      <c r="D367" s="22">
        <v>111.92645843654705</v>
      </c>
      <c r="E367" s="34">
        <v>111.92645843654699</v>
      </c>
      <c r="F367" s="34">
        <v>111.92645843654699</v>
      </c>
      <c r="G367" s="34">
        <v>112.679612721429</v>
      </c>
      <c r="H367" s="35">
        <v>112.73053253058499</v>
      </c>
      <c r="I367" s="35">
        <v>112.73053253058499</v>
      </c>
      <c r="J367" s="34">
        <v>113.120256379485</v>
      </c>
      <c r="K367" s="34">
        <v>113.120256379485</v>
      </c>
      <c r="L367" s="34">
        <v>113.120256379485</v>
      </c>
      <c r="M367" s="68">
        <v>113.25370121510601</v>
      </c>
      <c r="N367" s="21"/>
      <c r="O367" s="21"/>
      <c r="P367" s="21"/>
      <c r="Q367" s="52" t="str">
        <f t="shared" si="5"/>
        <v/>
      </c>
    </row>
    <row r="368" spans="1:17" x14ac:dyDescent="0.3">
      <c r="A368" s="41" t="s">
        <v>280</v>
      </c>
      <c r="B368" s="57" t="s">
        <v>584</v>
      </c>
      <c r="C368" s="46">
        <v>0.81208476587271639</v>
      </c>
      <c r="D368" s="22">
        <v>100</v>
      </c>
      <c r="E368" s="34">
        <v>100</v>
      </c>
      <c r="F368" s="34">
        <v>100</v>
      </c>
      <c r="G368" s="34">
        <v>100</v>
      </c>
      <c r="H368" s="35">
        <v>100</v>
      </c>
      <c r="I368" s="35">
        <v>100</v>
      </c>
      <c r="J368" s="34">
        <v>100</v>
      </c>
      <c r="K368" s="34">
        <v>100</v>
      </c>
      <c r="L368" s="34">
        <v>100</v>
      </c>
      <c r="M368" s="68">
        <v>100</v>
      </c>
      <c r="N368" s="21"/>
      <c r="O368" s="21"/>
      <c r="P368" s="21"/>
      <c r="Q368" s="52" t="str">
        <f t="shared" si="5"/>
        <v/>
      </c>
    </row>
    <row r="369" spans="1:17" x14ac:dyDescent="0.3">
      <c r="A369" s="41"/>
      <c r="B369" s="57"/>
      <c r="C369" s="46" t="s">
        <v>716</v>
      </c>
      <c r="D369" s="22" t="s">
        <v>716</v>
      </c>
      <c r="E369" s="34"/>
      <c r="F369" s="34"/>
      <c r="G369" s="34"/>
      <c r="H369" s="35"/>
      <c r="I369" s="35"/>
      <c r="J369" s="34"/>
      <c r="K369" s="34"/>
      <c r="L369" s="34"/>
      <c r="M369" s="68"/>
      <c r="N369" s="21"/>
      <c r="O369" s="21"/>
      <c r="P369" s="21"/>
      <c r="Q369" s="52" t="str">
        <f t="shared" si="5"/>
        <v/>
      </c>
    </row>
    <row r="370" spans="1:17" x14ac:dyDescent="0.3">
      <c r="A370" s="41" t="s">
        <v>281</v>
      </c>
      <c r="B370" s="57" t="s">
        <v>585</v>
      </c>
      <c r="C370" s="46">
        <v>0.88953567744000772</v>
      </c>
      <c r="D370" s="22">
        <v>111.92645843654705</v>
      </c>
      <c r="E370" s="34">
        <v>111.92645843654699</v>
      </c>
      <c r="F370" s="34">
        <v>111.92645843654699</v>
      </c>
      <c r="G370" s="34">
        <v>111.992034767428</v>
      </c>
      <c r="H370" s="35">
        <v>111.996468300266</v>
      </c>
      <c r="I370" s="35">
        <v>111.996468300266</v>
      </c>
      <c r="J370" s="34">
        <v>112.03040113525201</v>
      </c>
      <c r="K370" s="34">
        <v>112.03040113525201</v>
      </c>
      <c r="L370" s="34">
        <v>112.03040113525201</v>
      </c>
      <c r="M370" s="68">
        <v>112.042020033094</v>
      </c>
      <c r="N370" s="21"/>
      <c r="O370" s="21"/>
      <c r="P370" s="21"/>
      <c r="Q370" s="52" t="str">
        <f t="shared" si="5"/>
        <v/>
      </c>
    </row>
    <row r="371" spans="1:17" x14ac:dyDescent="0.3">
      <c r="A371" s="41"/>
      <c r="B371" s="57"/>
      <c r="C371" s="46" t="s">
        <v>716</v>
      </c>
      <c r="D371" s="22" t="s">
        <v>716</v>
      </c>
      <c r="E371" s="34"/>
      <c r="F371" s="34"/>
      <c r="G371" s="34"/>
      <c r="H371" s="35"/>
      <c r="I371" s="35"/>
      <c r="J371" s="34"/>
      <c r="K371" s="34"/>
      <c r="L371" s="34"/>
      <c r="M371" s="68"/>
      <c r="N371" s="21"/>
      <c r="O371" s="21"/>
      <c r="P371" s="21"/>
      <c r="Q371" s="52" t="str">
        <f t="shared" si="5"/>
        <v/>
      </c>
    </row>
    <row r="372" spans="1:17" x14ac:dyDescent="0.3">
      <c r="A372" s="41" t="s">
        <v>282</v>
      </c>
      <c r="B372" s="57" t="s">
        <v>586</v>
      </c>
      <c r="C372" s="46">
        <v>2.3376588613389071</v>
      </c>
      <c r="D372" s="22">
        <v>121.68700030552088</v>
      </c>
      <c r="E372" s="34">
        <v>121.90841691446199</v>
      </c>
      <c r="F372" s="34">
        <v>121.90841691446199</v>
      </c>
      <c r="G372" s="34">
        <v>121.935546351021</v>
      </c>
      <c r="H372" s="35">
        <v>121.937380537933</v>
      </c>
      <c r="I372" s="35">
        <v>121.937380537933</v>
      </c>
      <c r="J372" s="34">
        <v>121.95141881487901</v>
      </c>
      <c r="K372" s="34">
        <v>121.95141881487901</v>
      </c>
      <c r="L372" s="34">
        <v>121.95141881487901</v>
      </c>
      <c r="M372" s="68">
        <v>121.956225643008</v>
      </c>
      <c r="N372" s="21"/>
      <c r="O372" s="21"/>
      <c r="P372" s="21"/>
      <c r="Q372" s="52" t="str">
        <f t="shared" si="5"/>
        <v/>
      </c>
    </row>
    <row r="373" spans="1:17" x14ac:dyDescent="0.3">
      <c r="A373" s="41"/>
      <c r="B373" s="57"/>
      <c r="C373" s="46" t="s">
        <v>716</v>
      </c>
      <c r="D373" s="22" t="s">
        <v>716</v>
      </c>
      <c r="E373" s="34"/>
      <c r="F373" s="34"/>
      <c r="G373" s="34"/>
      <c r="H373" s="35"/>
      <c r="I373" s="35"/>
      <c r="J373" s="34"/>
      <c r="K373" s="34"/>
      <c r="L373" s="34"/>
      <c r="M373" s="68"/>
      <c r="N373" s="21"/>
      <c r="O373" s="21"/>
      <c r="P373" s="21"/>
      <c r="Q373" s="52" t="str">
        <f t="shared" si="5"/>
        <v/>
      </c>
    </row>
    <row r="374" spans="1:17" x14ac:dyDescent="0.3">
      <c r="A374" s="41" t="s">
        <v>131</v>
      </c>
      <c r="B374" s="57" t="s">
        <v>587</v>
      </c>
      <c r="C374" s="46">
        <v>141.89903534834536</v>
      </c>
      <c r="D374" s="22">
        <v>124.55752030424382</v>
      </c>
      <c r="E374" s="34">
        <v>123.375132278084</v>
      </c>
      <c r="F374" s="34">
        <v>121.974815591973</v>
      </c>
      <c r="G374" s="34">
        <v>130.86271632998901</v>
      </c>
      <c r="H374" s="35">
        <v>135.72767125498899</v>
      </c>
      <c r="I374" s="35">
        <v>134.33016381130099</v>
      </c>
      <c r="J374" s="34">
        <v>131.59835201291199</v>
      </c>
      <c r="K374" s="34">
        <v>134.15888539732401</v>
      </c>
      <c r="L374" s="34">
        <v>137.14673147307701</v>
      </c>
      <c r="M374" s="68">
        <v>139.82518011992201</v>
      </c>
      <c r="N374" s="21"/>
      <c r="O374" s="21"/>
      <c r="P374" s="21"/>
      <c r="Q374" s="52" t="str">
        <f t="shared" si="5"/>
        <v/>
      </c>
    </row>
    <row r="375" spans="1:17" x14ac:dyDescent="0.3">
      <c r="A375" s="41"/>
      <c r="B375" s="57"/>
      <c r="C375" s="46" t="s">
        <v>716</v>
      </c>
      <c r="D375" s="22" t="s">
        <v>716</v>
      </c>
      <c r="E375" s="34"/>
      <c r="F375" s="34"/>
      <c r="G375" s="34"/>
      <c r="H375" s="35"/>
      <c r="I375" s="35"/>
      <c r="J375" s="34"/>
      <c r="K375" s="34"/>
      <c r="L375" s="34"/>
      <c r="M375" s="68"/>
      <c r="N375" s="21"/>
      <c r="O375" s="21"/>
      <c r="P375" s="21"/>
      <c r="Q375" s="52" t="str">
        <f t="shared" si="5"/>
        <v/>
      </c>
    </row>
    <row r="376" spans="1:17" x14ac:dyDescent="0.3">
      <c r="B376" s="55" t="s">
        <v>588</v>
      </c>
      <c r="C376" s="46" t="s">
        <v>716</v>
      </c>
      <c r="D376" s="22" t="s">
        <v>716</v>
      </c>
      <c r="E376" s="34"/>
      <c r="F376" s="34"/>
      <c r="G376" s="34"/>
      <c r="H376" s="35"/>
      <c r="I376" s="35"/>
      <c r="J376" s="34"/>
      <c r="K376" s="34"/>
      <c r="L376" s="34"/>
      <c r="M376" s="68"/>
      <c r="N376" s="21"/>
      <c r="O376" s="21"/>
      <c r="P376" s="21"/>
      <c r="Q376" s="52" t="str">
        <f t="shared" si="5"/>
        <v/>
      </c>
    </row>
    <row r="377" spans="1:17" x14ac:dyDescent="0.3">
      <c r="A377" s="41"/>
      <c r="B377" s="57"/>
      <c r="C377" s="46" t="s">
        <v>716</v>
      </c>
      <c r="D377" s="22" t="s">
        <v>716</v>
      </c>
      <c r="E377" s="34"/>
      <c r="F377" s="34"/>
      <c r="G377" s="34"/>
      <c r="H377" s="35"/>
      <c r="I377" s="35"/>
      <c r="J377" s="34"/>
      <c r="K377" s="34"/>
      <c r="L377" s="34"/>
      <c r="M377" s="68"/>
      <c r="N377" s="21"/>
      <c r="O377" s="21"/>
      <c r="P377" s="21"/>
      <c r="Q377" s="52" t="str">
        <f t="shared" si="5"/>
        <v/>
      </c>
    </row>
    <row r="378" spans="1:17" x14ac:dyDescent="0.3">
      <c r="A378" s="40" t="s">
        <v>283</v>
      </c>
      <c r="B378" s="57" t="s">
        <v>589</v>
      </c>
      <c r="C378" s="46">
        <v>0.11125217643338932</v>
      </c>
      <c r="D378" s="22">
        <v>120.22543023223552</v>
      </c>
      <c r="E378" s="34">
        <v>121.286974210978</v>
      </c>
      <c r="F378" s="34">
        <v>122.11691267612601</v>
      </c>
      <c r="G378" s="34">
        <v>120.53459156084899</v>
      </c>
      <c r="H378" s="35">
        <v>122.429919937995</v>
      </c>
      <c r="I378" s="35">
        <v>119.930980886504</v>
      </c>
      <c r="J378" s="34">
        <v>120.806548108275</v>
      </c>
      <c r="K378" s="34">
        <v>122.849955953031</v>
      </c>
      <c r="L378" s="34">
        <v>122.915532648618</v>
      </c>
      <c r="M378" s="68">
        <v>123.055392344852</v>
      </c>
      <c r="N378" s="21"/>
      <c r="O378" s="21"/>
      <c r="P378" s="21"/>
      <c r="Q378" s="52" t="str">
        <f t="shared" si="5"/>
        <v/>
      </c>
    </row>
    <row r="379" spans="1:17" x14ac:dyDescent="0.3">
      <c r="A379" s="40" t="s">
        <v>284</v>
      </c>
      <c r="B379" s="57" t="s">
        <v>590</v>
      </c>
      <c r="C379" s="46">
        <v>1.0025080700711866</v>
      </c>
      <c r="D379" s="22">
        <v>73.554013344417697</v>
      </c>
      <c r="E379" s="34">
        <v>71.678485787883602</v>
      </c>
      <c r="F379" s="34">
        <v>72.378505911389198</v>
      </c>
      <c r="G379" s="34">
        <v>75.463683861206107</v>
      </c>
      <c r="H379" s="35">
        <v>75.329394080053902</v>
      </c>
      <c r="I379" s="35">
        <v>75.313308041811297</v>
      </c>
      <c r="J379" s="34">
        <v>75.328985842092493</v>
      </c>
      <c r="K379" s="34">
        <v>73.236408161807702</v>
      </c>
      <c r="L379" s="34">
        <v>74.199313132395005</v>
      </c>
      <c r="M379" s="68">
        <v>75.270345111048101</v>
      </c>
      <c r="N379" s="21"/>
      <c r="O379" s="21"/>
      <c r="P379" s="21"/>
      <c r="Q379" s="52" t="str">
        <f t="shared" si="5"/>
        <v/>
      </c>
    </row>
    <row r="380" spans="1:17" x14ac:dyDescent="0.3">
      <c r="A380" s="40"/>
      <c r="B380" s="57"/>
      <c r="C380" s="46" t="s">
        <v>716</v>
      </c>
      <c r="D380" s="22" t="s">
        <v>716</v>
      </c>
      <c r="E380" s="34"/>
      <c r="F380" s="34"/>
      <c r="G380" s="34"/>
      <c r="H380" s="35"/>
      <c r="I380" s="35"/>
      <c r="J380" s="34"/>
      <c r="K380" s="34"/>
      <c r="L380" s="34"/>
      <c r="M380" s="68"/>
      <c r="N380" s="21"/>
      <c r="O380" s="21"/>
      <c r="P380" s="21"/>
      <c r="Q380" s="52" t="str">
        <f t="shared" si="5"/>
        <v/>
      </c>
    </row>
    <row r="381" spans="1:17" x14ac:dyDescent="0.3">
      <c r="A381" s="40" t="s">
        <v>285</v>
      </c>
      <c r="B381" s="57" t="s">
        <v>591</v>
      </c>
      <c r="C381" s="46">
        <v>2.9729837263127337</v>
      </c>
      <c r="D381" s="22">
        <v>94.844783245535851</v>
      </c>
      <c r="E381" s="34">
        <v>98.771572095597705</v>
      </c>
      <c r="F381" s="34">
        <v>94.687695248446701</v>
      </c>
      <c r="G381" s="34">
        <v>96.848639273321098</v>
      </c>
      <c r="H381" s="35">
        <v>96.119057335232895</v>
      </c>
      <c r="I381" s="35">
        <v>96.365549546303498</v>
      </c>
      <c r="J381" s="34">
        <v>96.489908273003394</v>
      </c>
      <c r="K381" s="34">
        <v>94.644115012946102</v>
      </c>
      <c r="L381" s="34">
        <v>95.025010527100306</v>
      </c>
      <c r="M381" s="68">
        <v>97.382437562291699</v>
      </c>
      <c r="N381" s="21"/>
      <c r="O381" s="21"/>
      <c r="P381" s="21"/>
      <c r="Q381" s="52" t="str">
        <f t="shared" si="5"/>
        <v/>
      </c>
    </row>
    <row r="382" spans="1:17" x14ac:dyDescent="0.3">
      <c r="A382" s="40" t="s">
        <v>286</v>
      </c>
      <c r="B382" s="57" t="s">
        <v>592</v>
      </c>
      <c r="C382" s="46">
        <v>0.13264168888879976</v>
      </c>
      <c r="D382" s="22">
        <v>88.096467396490922</v>
      </c>
      <c r="E382" s="34">
        <v>83.763103400279107</v>
      </c>
      <c r="F382" s="34">
        <v>83.613839261233807</v>
      </c>
      <c r="G382" s="34">
        <v>89.321912721001596</v>
      </c>
      <c r="H382" s="35">
        <v>89.120748466218302</v>
      </c>
      <c r="I382" s="35">
        <v>88.344642520485706</v>
      </c>
      <c r="J382" s="34">
        <v>89.100851422758396</v>
      </c>
      <c r="K382" s="34">
        <v>89.478877533680105</v>
      </c>
      <c r="L382" s="34">
        <v>89.210465343149295</v>
      </c>
      <c r="M382" s="68">
        <v>87.176355263010095</v>
      </c>
      <c r="N382" s="21"/>
      <c r="O382" s="21"/>
      <c r="P382" s="21"/>
      <c r="Q382" s="52" t="str">
        <f t="shared" si="5"/>
        <v/>
      </c>
    </row>
    <row r="383" spans="1:17" x14ac:dyDescent="0.3">
      <c r="A383" s="40"/>
      <c r="B383" s="57"/>
      <c r="C383" s="46" t="s">
        <v>716</v>
      </c>
      <c r="D383" s="22" t="s">
        <v>716</v>
      </c>
      <c r="E383" s="34"/>
      <c r="F383" s="34"/>
      <c r="G383" s="34"/>
      <c r="H383" s="35"/>
      <c r="I383" s="35"/>
      <c r="J383" s="34"/>
      <c r="K383" s="34"/>
      <c r="L383" s="34"/>
      <c r="M383" s="68"/>
      <c r="N383" s="21"/>
      <c r="O383" s="21"/>
      <c r="P383" s="21"/>
      <c r="Q383" s="52" t="str">
        <f t="shared" si="5"/>
        <v/>
      </c>
    </row>
    <row r="384" spans="1:17" x14ac:dyDescent="0.3">
      <c r="A384" s="40" t="s">
        <v>287</v>
      </c>
      <c r="B384" s="57" t="s">
        <v>593</v>
      </c>
      <c r="C384" s="46">
        <v>3.1056254152015335</v>
      </c>
      <c r="D384" s="22">
        <v>94.556971222081259</v>
      </c>
      <c r="E384" s="34">
        <v>98.105988043802299</v>
      </c>
      <c r="F384" s="34">
        <v>94.201554998968902</v>
      </c>
      <c r="G384" s="34">
        <v>96.525598362231193</v>
      </c>
      <c r="H384" s="35">
        <v>95.820074545278302</v>
      </c>
      <c r="I384" s="35">
        <v>96.019744540726407</v>
      </c>
      <c r="J384" s="34">
        <v>96.173096958866495</v>
      </c>
      <c r="K384" s="34">
        <v>94.428829295241499</v>
      </c>
      <c r="L384" s="34">
        <v>94.780045604720897</v>
      </c>
      <c r="M384" s="68">
        <v>96.936690189426997</v>
      </c>
      <c r="N384" s="21"/>
      <c r="O384" s="21"/>
      <c r="P384" s="21"/>
      <c r="Q384" s="52" t="str">
        <f t="shared" si="5"/>
        <v/>
      </c>
    </row>
    <row r="385" spans="1:17" x14ac:dyDescent="0.3">
      <c r="A385" s="40" t="s">
        <v>288</v>
      </c>
      <c r="B385" s="57" t="s">
        <v>594</v>
      </c>
      <c r="C385" s="46">
        <v>1.9390821784983427</v>
      </c>
      <c r="D385" s="22">
        <v>73.559969344718738</v>
      </c>
      <c r="E385" s="34">
        <v>72.508416308574994</v>
      </c>
      <c r="F385" s="34">
        <v>71.923742392315305</v>
      </c>
      <c r="G385" s="34">
        <v>70.358613053982197</v>
      </c>
      <c r="H385" s="35">
        <v>69.162426348265299</v>
      </c>
      <c r="I385" s="35">
        <v>69.507448273270299</v>
      </c>
      <c r="J385" s="34">
        <v>69.049679144158603</v>
      </c>
      <c r="K385" s="34">
        <v>68.673763780693506</v>
      </c>
      <c r="L385" s="34">
        <v>69.343864133750998</v>
      </c>
      <c r="M385" s="68">
        <v>70.788952970052605</v>
      </c>
      <c r="N385" s="21"/>
      <c r="O385" s="21"/>
      <c r="P385" s="21"/>
      <c r="Q385" s="52" t="str">
        <f t="shared" si="5"/>
        <v/>
      </c>
    </row>
    <row r="386" spans="1:17" x14ac:dyDescent="0.3">
      <c r="A386" s="40" t="s">
        <v>289</v>
      </c>
      <c r="B386" s="57" t="s">
        <v>595</v>
      </c>
      <c r="C386" s="46">
        <v>1.293459623622246E-2</v>
      </c>
      <c r="D386" s="22">
        <v>112.27753687922606</v>
      </c>
      <c r="E386" s="34">
        <v>113.221224483282</v>
      </c>
      <c r="F386" s="34">
        <v>119.796219549988</v>
      </c>
      <c r="G386" s="34">
        <v>128.01048666889699</v>
      </c>
      <c r="H386" s="35">
        <v>134.435459349605</v>
      </c>
      <c r="I386" s="35">
        <v>138.06779328047099</v>
      </c>
      <c r="J386" s="34">
        <v>141.17622116411999</v>
      </c>
      <c r="K386" s="34">
        <v>151.540377186201</v>
      </c>
      <c r="L386" s="34">
        <v>162.05450817291401</v>
      </c>
      <c r="M386" s="68">
        <v>165.86702651935099</v>
      </c>
      <c r="N386" s="21"/>
      <c r="O386" s="21"/>
      <c r="P386" s="21"/>
      <c r="Q386" s="52" t="str">
        <f t="shared" si="5"/>
        <v/>
      </c>
    </row>
    <row r="387" spans="1:17" x14ac:dyDescent="0.3">
      <c r="A387" s="40"/>
      <c r="B387" s="57"/>
      <c r="C387" s="46" t="s">
        <v>716</v>
      </c>
      <c r="D387" s="22" t="s">
        <v>716</v>
      </c>
      <c r="E387" s="34"/>
      <c r="F387" s="34"/>
      <c r="G387" s="34"/>
      <c r="H387" s="35"/>
      <c r="I387" s="35"/>
      <c r="J387" s="34"/>
      <c r="K387" s="34"/>
      <c r="L387" s="34"/>
      <c r="M387" s="68"/>
      <c r="N387" s="21"/>
      <c r="O387" s="21"/>
      <c r="P387" s="21"/>
      <c r="Q387" s="52" t="str">
        <f t="shared" si="5"/>
        <v/>
      </c>
    </row>
    <row r="388" spans="1:17" x14ac:dyDescent="0.3">
      <c r="A388" s="41" t="s">
        <v>290</v>
      </c>
      <c r="B388" s="57" t="s">
        <v>596</v>
      </c>
      <c r="C388" s="46">
        <v>2.4452698686811689E-2</v>
      </c>
      <c r="D388" s="22">
        <v>98.126818996690275</v>
      </c>
      <c r="E388" s="34">
        <v>98.017185634204793</v>
      </c>
      <c r="F388" s="34">
        <v>97.6740760398106</v>
      </c>
      <c r="G388" s="34">
        <v>97.534401268930907</v>
      </c>
      <c r="H388" s="35">
        <v>97.005882197336703</v>
      </c>
      <c r="I388" s="35">
        <v>96.539907218047503</v>
      </c>
      <c r="J388" s="34">
        <v>96.786408321510095</v>
      </c>
      <c r="K388" s="34">
        <v>91.979187708983702</v>
      </c>
      <c r="L388" s="34">
        <v>92.788378648459897</v>
      </c>
      <c r="M388" s="68">
        <v>94.366067213292993</v>
      </c>
      <c r="N388" s="21"/>
      <c r="O388" s="21"/>
      <c r="P388" s="21"/>
      <c r="Q388" s="52" t="str">
        <f t="shared" si="5"/>
        <v/>
      </c>
    </row>
    <row r="389" spans="1:17" x14ac:dyDescent="0.3">
      <c r="A389" s="40" t="s">
        <v>291</v>
      </c>
      <c r="B389" s="57" t="s">
        <v>597</v>
      </c>
      <c r="C389" s="46">
        <v>6.2468058913285884E-2</v>
      </c>
      <c r="D389" s="22">
        <v>100</v>
      </c>
      <c r="E389" s="34">
        <v>101.788998714904</v>
      </c>
      <c r="F389" s="34">
        <v>101.893319668156</v>
      </c>
      <c r="G389" s="34">
        <v>102.184484672396</v>
      </c>
      <c r="H389" s="35">
        <v>102.502662223239</v>
      </c>
      <c r="I389" s="35">
        <v>102.346270081054</v>
      </c>
      <c r="J389" s="34">
        <v>102.63903879538999</v>
      </c>
      <c r="K389" s="34">
        <v>99.398457388749407</v>
      </c>
      <c r="L389" s="34">
        <v>100.11000668881</v>
      </c>
      <c r="M389" s="68">
        <v>103.370209012304</v>
      </c>
      <c r="N389" s="21"/>
      <c r="O389" s="21"/>
      <c r="P389" s="21"/>
      <c r="Q389" s="52" t="str">
        <f t="shared" si="5"/>
        <v/>
      </c>
    </row>
    <row r="390" spans="1:17" x14ac:dyDescent="0.3">
      <c r="A390" s="41"/>
      <c r="B390" s="57"/>
      <c r="C390" s="46" t="s">
        <v>716</v>
      </c>
      <c r="D390" s="22" t="s">
        <v>716</v>
      </c>
      <c r="E390" s="34"/>
      <c r="F390" s="34"/>
      <c r="G390" s="34"/>
      <c r="H390" s="35"/>
      <c r="I390" s="35"/>
      <c r="J390" s="34"/>
      <c r="K390" s="34"/>
      <c r="L390" s="34"/>
      <c r="M390" s="68"/>
      <c r="N390" s="21"/>
      <c r="O390" s="21"/>
      <c r="P390" s="21"/>
      <c r="Q390" s="52" t="str">
        <f t="shared" si="5"/>
        <v/>
      </c>
    </row>
    <row r="391" spans="1:17" x14ac:dyDescent="0.3">
      <c r="A391" s="40" t="s">
        <v>292</v>
      </c>
      <c r="B391" s="57" t="s">
        <v>598</v>
      </c>
      <c r="C391" s="46">
        <v>8.692075760009757E-2</v>
      </c>
      <c r="D391" s="22">
        <v>98.126818996690275</v>
      </c>
      <c r="E391" s="34">
        <v>99.357607474289296</v>
      </c>
      <c r="F391" s="34">
        <v>99.334652104013998</v>
      </c>
      <c r="G391" s="34">
        <v>99.500692808062396</v>
      </c>
      <c r="H391" s="35">
        <v>99.576392840424603</v>
      </c>
      <c r="I391" s="35">
        <v>99.335013689769696</v>
      </c>
      <c r="J391" s="34">
        <v>99.610825024570005</v>
      </c>
      <c r="K391" s="34">
        <v>95.973139127755402</v>
      </c>
      <c r="L391" s="34">
        <v>96.702578164009694</v>
      </c>
      <c r="M391" s="68">
        <v>99.445563475659895</v>
      </c>
      <c r="N391" s="21"/>
      <c r="O391" s="21"/>
      <c r="P391" s="21"/>
      <c r="Q391" s="52" t="str">
        <f t="shared" si="5"/>
        <v/>
      </c>
    </row>
    <row r="392" spans="1:17" x14ac:dyDescent="0.3">
      <c r="A392" s="40"/>
      <c r="B392" s="57"/>
      <c r="C392" s="46" t="s">
        <v>716</v>
      </c>
      <c r="D392" s="22" t="s">
        <v>716</v>
      </c>
      <c r="E392" s="34"/>
      <c r="F392" s="34"/>
      <c r="G392" s="34"/>
      <c r="H392" s="35"/>
      <c r="I392" s="35"/>
      <c r="J392" s="34"/>
      <c r="K392" s="34"/>
      <c r="L392" s="34"/>
      <c r="M392" s="68"/>
      <c r="N392" s="21"/>
      <c r="O392" s="21"/>
      <c r="P392" s="21"/>
      <c r="Q392" s="52" t="str">
        <f t="shared" ref="Q392:Q455" si="6">IF(P392="","",AVERAGE(E392:P392))</f>
        <v/>
      </c>
    </row>
    <row r="393" spans="1:17" x14ac:dyDescent="0.3">
      <c r="A393" s="40" t="s">
        <v>132</v>
      </c>
      <c r="B393" s="57" t="s">
        <v>599</v>
      </c>
      <c r="C393" s="46">
        <v>6.2583231940407718</v>
      </c>
      <c r="D393" s="22">
        <v>85.128151705154082</v>
      </c>
      <c r="E393" s="34">
        <v>86.0186036361101</v>
      </c>
      <c r="F393" s="34">
        <v>84.214881783372206</v>
      </c>
      <c r="G393" s="34">
        <v>85.258890247080402</v>
      </c>
      <c r="H393" s="35">
        <v>84.524720730233497</v>
      </c>
      <c r="I393" s="35">
        <v>84.7059847140887</v>
      </c>
      <c r="J393" s="34">
        <v>84.6324768381821</v>
      </c>
      <c r="K393" s="34">
        <v>83.328602255877698</v>
      </c>
      <c r="L393" s="34">
        <v>83.9303935584649</v>
      </c>
      <c r="M393" s="68">
        <v>85.651397233937502</v>
      </c>
      <c r="N393" s="21"/>
      <c r="O393" s="21"/>
      <c r="P393" s="21"/>
      <c r="Q393" s="52" t="str">
        <f t="shared" si="6"/>
        <v/>
      </c>
    </row>
    <row r="394" spans="1:17" x14ac:dyDescent="0.3">
      <c r="A394" s="40"/>
      <c r="B394" s="57"/>
      <c r="C394" s="46" t="s">
        <v>716</v>
      </c>
      <c r="D394" s="22" t="s">
        <v>716</v>
      </c>
      <c r="E394" s="34"/>
      <c r="F394" s="34"/>
      <c r="G394" s="34"/>
      <c r="H394" s="35"/>
      <c r="I394" s="35"/>
      <c r="J394" s="34"/>
      <c r="K394" s="34"/>
      <c r="L394" s="34"/>
      <c r="M394" s="68"/>
      <c r="N394" s="21"/>
      <c r="O394" s="21"/>
      <c r="P394" s="21"/>
      <c r="Q394" s="52" t="str">
        <f t="shared" si="6"/>
        <v/>
      </c>
    </row>
    <row r="395" spans="1:17" x14ac:dyDescent="0.3">
      <c r="A395" s="40" t="s">
        <v>293</v>
      </c>
      <c r="B395" s="57" t="s">
        <v>600</v>
      </c>
      <c r="C395" s="46">
        <v>2.3338179524759868E-2</v>
      </c>
      <c r="D395" s="22">
        <v>91.190486930291826</v>
      </c>
      <c r="E395" s="34">
        <v>94.487731395763902</v>
      </c>
      <c r="F395" s="34">
        <v>92.108386335591106</v>
      </c>
      <c r="G395" s="34">
        <v>91.197276309957701</v>
      </c>
      <c r="H395" s="35">
        <v>91.462847785170098</v>
      </c>
      <c r="I395" s="35">
        <v>93.336108114567693</v>
      </c>
      <c r="J395" s="34">
        <v>92.816878126476098</v>
      </c>
      <c r="K395" s="34">
        <v>93.525576898405205</v>
      </c>
      <c r="L395" s="34">
        <v>93.132480476515298</v>
      </c>
      <c r="M395" s="68">
        <v>93.391001364208805</v>
      </c>
      <c r="N395" s="21"/>
      <c r="O395" s="21"/>
      <c r="P395" s="21"/>
      <c r="Q395" s="52" t="str">
        <f t="shared" si="6"/>
        <v/>
      </c>
    </row>
    <row r="396" spans="1:17" x14ac:dyDescent="0.3">
      <c r="A396" s="40"/>
      <c r="B396" s="57"/>
      <c r="C396" s="46" t="s">
        <v>716</v>
      </c>
      <c r="D396" s="22" t="s">
        <v>716</v>
      </c>
      <c r="E396" s="34"/>
      <c r="F396" s="34"/>
      <c r="G396" s="34"/>
      <c r="H396" s="35"/>
      <c r="I396" s="35"/>
      <c r="J396" s="34"/>
      <c r="K396" s="34"/>
      <c r="L396" s="34"/>
      <c r="M396" s="68"/>
      <c r="N396" s="21"/>
      <c r="O396" s="21"/>
      <c r="P396" s="21"/>
      <c r="Q396" s="52" t="str">
        <f t="shared" si="6"/>
        <v/>
      </c>
    </row>
    <row r="397" spans="1:17" x14ac:dyDescent="0.3">
      <c r="A397" s="40" t="s">
        <v>198</v>
      </c>
      <c r="B397" s="57" t="s">
        <v>601</v>
      </c>
      <c r="C397" s="46">
        <v>2.3338179524759868E-2</v>
      </c>
      <c r="D397" s="22">
        <v>91.190486930291826</v>
      </c>
      <c r="E397" s="34">
        <v>94.487731395763902</v>
      </c>
      <c r="F397" s="34">
        <v>92.108386335591106</v>
      </c>
      <c r="G397" s="34">
        <v>91.197276309957701</v>
      </c>
      <c r="H397" s="35">
        <v>91.462847785170098</v>
      </c>
      <c r="I397" s="35">
        <v>93.336108114567693</v>
      </c>
      <c r="J397" s="34">
        <v>92.816878126476098</v>
      </c>
      <c r="K397" s="34">
        <v>93.525576898405205</v>
      </c>
      <c r="L397" s="34">
        <v>93.132480476515298</v>
      </c>
      <c r="M397" s="68">
        <v>93.391001364208805</v>
      </c>
      <c r="N397" s="21"/>
      <c r="O397" s="21"/>
      <c r="P397" s="21"/>
      <c r="Q397" s="52" t="str">
        <f t="shared" si="6"/>
        <v/>
      </c>
    </row>
    <row r="398" spans="1:17" x14ac:dyDescent="0.3">
      <c r="A398" s="40"/>
      <c r="B398" s="57"/>
      <c r="C398" s="46" t="s">
        <v>716</v>
      </c>
      <c r="D398" s="22" t="s">
        <v>716</v>
      </c>
      <c r="E398" s="34"/>
      <c r="F398" s="34"/>
      <c r="G398" s="34"/>
      <c r="H398" s="35"/>
      <c r="I398" s="35"/>
      <c r="J398" s="34"/>
      <c r="K398" s="34"/>
      <c r="L398" s="34"/>
      <c r="M398" s="68"/>
      <c r="N398" s="21"/>
      <c r="O398" s="21"/>
      <c r="P398" s="21"/>
      <c r="Q398" s="52" t="str">
        <f t="shared" si="6"/>
        <v/>
      </c>
    </row>
    <row r="399" spans="1:17" x14ac:dyDescent="0.3">
      <c r="A399" s="40" t="s">
        <v>294</v>
      </c>
      <c r="B399" s="57" t="s">
        <v>602</v>
      </c>
      <c r="C399" s="46">
        <v>1.6919920012582745</v>
      </c>
      <c r="D399" s="22">
        <v>96.921348600999551</v>
      </c>
      <c r="E399" s="34">
        <v>97.124883433061598</v>
      </c>
      <c r="F399" s="34">
        <v>97.051068521652397</v>
      </c>
      <c r="G399" s="34">
        <v>96.940430303537894</v>
      </c>
      <c r="H399" s="35">
        <v>96.834765234507003</v>
      </c>
      <c r="I399" s="35">
        <v>96.715658473268405</v>
      </c>
      <c r="J399" s="34">
        <v>96.581223707990702</v>
      </c>
      <c r="K399" s="34">
        <v>96.308864657134095</v>
      </c>
      <c r="L399" s="34">
        <v>96.095058977595301</v>
      </c>
      <c r="M399" s="68">
        <v>95.906712661999194</v>
      </c>
      <c r="N399" s="21"/>
      <c r="O399" s="21"/>
      <c r="P399" s="21"/>
      <c r="Q399" s="52" t="str">
        <f t="shared" si="6"/>
        <v/>
      </c>
    </row>
    <row r="400" spans="1:17" x14ac:dyDescent="0.3">
      <c r="A400" s="40" t="s">
        <v>295</v>
      </c>
      <c r="B400" s="57" t="s">
        <v>603</v>
      </c>
      <c r="C400" s="46">
        <v>20.334526718415766</v>
      </c>
      <c r="D400" s="22">
        <v>94.291259054814276</v>
      </c>
      <c r="E400" s="34">
        <v>94.004613627287597</v>
      </c>
      <c r="F400" s="34">
        <v>93.608854203916593</v>
      </c>
      <c r="G400" s="34">
        <v>93.473121365321006</v>
      </c>
      <c r="H400" s="35">
        <v>93.478729752602902</v>
      </c>
      <c r="I400" s="35">
        <v>93.162771646039204</v>
      </c>
      <c r="J400" s="34">
        <v>93.779509194336001</v>
      </c>
      <c r="K400" s="34">
        <v>93.832963514576605</v>
      </c>
      <c r="L400" s="34">
        <v>93.795430329170898</v>
      </c>
      <c r="M400" s="68">
        <v>93.740091025276598</v>
      </c>
      <c r="N400" s="21"/>
      <c r="O400" s="21"/>
      <c r="P400" s="21"/>
      <c r="Q400" s="52" t="str">
        <f t="shared" si="6"/>
        <v/>
      </c>
    </row>
    <row r="401" spans="1:17" x14ac:dyDescent="0.3">
      <c r="A401" s="40" t="s">
        <v>296</v>
      </c>
      <c r="B401" s="57" t="s">
        <v>604</v>
      </c>
      <c r="C401" s="46">
        <v>8.1465675380816283E-2</v>
      </c>
      <c r="D401" s="22">
        <v>90.822542126048006</v>
      </c>
      <c r="E401" s="34">
        <v>90.956051262973304</v>
      </c>
      <c r="F401" s="34">
        <v>90.222945489793702</v>
      </c>
      <c r="G401" s="34">
        <v>89.3838720967386</v>
      </c>
      <c r="H401" s="35">
        <v>88.566903505774405</v>
      </c>
      <c r="I401" s="35">
        <v>87.719318239224194</v>
      </c>
      <c r="J401" s="34">
        <v>86.831598738643194</v>
      </c>
      <c r="K401" s="34">
        <v>85.692368163192199</v>
      </c>
      <c r="L401" s="34">
        <v>84.628925874287006</v>
      </c>
      <c r="M401" s="68">
        <v>83.656539515991497</v>
      </c>
      <c r="N401" s="21"/>
      <c r="O401" s="21"/>
      <c r="P401" s="21"/>
      <c r="Q401" s="52" t="str">
        <f t="shared" si="6"/>
        <v/>
      </c>
    </row>
    <row r="402" spans="1:17" x14ac:dyDescent="0.3">
      <c r="A402" s="40" t="s">
        <v>297</v>
      </c>
      <c r="B402" s="57" t="s">
        <v>605</v>
      </c>
      <c r="C402" s="46">
        <v>16.616064434886692</v>
      </c>
      <c r="D402" s="22">
        <v>89.50148756943058</v>
      </c>
      <c r="E402" s="34">
        <v>86.445906783810202</v>
      </c>
      <c r="F402" s="34">
        <v>86.596322661614096</v>
      </c>
      <c r="G402" s="34">
        <v>86.611909999693196</v>
      </c>
      <c r="H402" s="35">
        <v>86.602382689593099</v>
      </c>
      <c r="I402" s="35">
        <v>86.407527328541605</v>
      </c>
      <c r="J402" s="34">
        <v>86.114605810897899</v>
      </c>
      <c r="K402" s="34">
        <v>85.737423837446102</v>
      </c>
      <c r="L402" s="34">
        <v>85.642255296986605</v>
      </c>
      <c r="M402" s="68">
        <v>85.509509801276195</v>
      </c>
      <c r="N402" s="21"/>
      <c r="O402" s="21"/>
      <c r="P402" s="21"/>
      <c r="Q402" s="52" t="str">
        <f t="shared" si="6"/>
        <v/>
      </c>
    </row>
    <row r="403" spans="1:17" x14ac:dyDescent="0.3">
      <c r="A403" s="40" t="s">
        <v>298</v>
      </c>
      <c r="B403" s="57" t="s">
        <v>606</v>
      </c>
      <c r="C403" s="46">
        <v>4.073187479932671E-2</v>
      </c>
      <c r="D403" s="22">
        <v>101.33456733501299</v>
      </c>
      <c r="E403" s="34">
        <v>101.33456733501301</v>
      </c>
      <c r="F403" s="34">
        <v>101.610888636879</v>
      </c>
      <c r="G403" s="34">
        <v>101.719987230196</v>
      </c>
      <c r="H403" s="35">
        <v>101.719987230196</v>
      </c>
      <c r="I403" s="35">
        <v>102.074622871925</v>
      </c>
      <c r="J403" s="34">
        <v>102.30268043112</v>
      </c>
      <c r="K403" s="34">
        <v>103.249285139431</v>
      </c>
      <c r="L403" s="34">
        <v>105.663875932804</v>
      </c>
      <c r="M403" s="68">
        <v>105.663875932804</v>
      </c>
      <c r="N403" s="21"/>
      <c r="O403" s="21"/>
      <c r="P403" s="21"/>
      <c r="Q403" s="52" t="str">
        <f t="shared" si="6"/>
        <v/>
      </c>
    </row>
    <row r="404" spans="1:17" x14ac:dyDescent="0.3">
      <c r="A404" s="40"/>
      <c r="B404" s="57"/>
      <c r="C404" s="46" t="s">
        <v>716</v>
      </c>
      <c r="D404" s="22" t="s">
        <v>716</v>
      </c>
      <c r="E404" s="34"/>
      <c r="F404" s="34"/>
      <c r="G404" s="34"/>
      <c r="H404" s="35"/>
      <c r="I404" s="35"/>
      <c r="J404" s="34"/>
      <c r="K404" s="34"/>
      <c r="L404" s="34"/>
      <c r="M404" s="68"/>
      <c r="N404" s="21"/>
      <c r="O404" s="21"/>
      <c r="P404" s="21"/>
      <c r="Q404" s="52" t="str">
        <f t="shared" si="6"/>
        <v/>
      </c>
    </row>
    <row r="405" spans="1:17" x14ac:dyDescent="0.3">
      <c r="A405" s="40" t="s">
        <v>299</v>
      </c>
      <c r="B405" s="57" t="s">
        <v>607</v>
      </c>
      <c r="C405" s="46">
        <v>1.6866375906587185</v>
      </c>
      <c r="D405" s="22">
        <v>100.00000000000001</v>
      </c>
      <c r="E405" s="34">
        <v>100</v>
      </c>
      <c r="F405" s="34">
        <v>100</v>
      </c>
      <c r="G405" s="34">
        <v>100</v>
      </c>
      <c r="H405" s="35">
        <v>100</v>
      </c>
      <c r="I405" s="35">
        <v>100</v>
      </c>
      <c r="J405" s="34">
        <v>100</v>
      </c>
      <c r="K405" s="34">
        <v>100</v>
      </c>
      <c r="L405" s="34">
        <v>100</v>
      </c>
      <c r="M405" s="68">
        <v>100</v>
      </c>
      <c r="N405" s="21"/>
      <c r="O405" s="21"/>
      <c r="P405" s="21"/>
      <c r="Q405" s="52" t="str">
        <f t="shared" si="6"/>
        <v/>
      </c>
    </row>
    <row r="406" spans="1:17" x14ac:dyDescent="0.3">
      <c r="A406" s="40" t="s">
        <v>300</v>
      </c>
      <c r="B406" s="57" t="s">
        <v>608</v>
      </c>
      <c r="C406" s="46">
        <v>0.35879373756891508</v>
      </c>
      <c r="D406" s="22">
        <v>111.83985461245773</v>
      </c>
      <c r="E406" s="34">
        <v>111.839854612458</v>
      </c>
      <c r="F406" s="34">
        <v>111.839854612458</v>
      </c>
      <c r="G406" s="34">
        <v>111.839854612458</v>
      </c>
      <c r="H406" s="35">
        <v>111.839854612458</v>
      </c>
      <c r="I406" s="35">
        <v>111.839854612458</v>
      </c>
      <c r="J406" s="34">
        <v>111.839854612458</v>
      </c>
      <c r="K406" s="34">
        <v>109.23555391152399</v>
      </c>
      <c r="L406" s="34">
        <v>111.839854612458</v>
      </c>
      <c r="M406" s="68">
        <v>111.839854612458</v>
      </c>
      <c r="N406" s="21"/>
      <c r="O406" s="21"/>
      <c r="P406" s="21"/>
      <c r="Q406" s="52" t="str">
        <f t="shared" si="6"/>
        <v/>
      </c>
    </row>
    <row r="407" spans="1:17" x14ac:dyDescent="0.3">
      <c r="A407" s="40"/>
      <c r="B407" s="57"/>
      <c r="C407" s="46" t="s">
        <v>716</v>
      </c>
      <c r="D407" s="22" t="s">
        <v>716</v>
      </c>
      <c r="E407" s="34"/>
      <c r="F407" s="34"/>
      <c r="G407" s="34"/>
      <c r="H407" s="35"/>
      <c r="I407" s="35"/>
      <c r="J407" s="34"/>
      <c r="K407" s="34"/>
      <c r="L407" s="34"/>
      <c r="M407" s="68"/>
      <c r="N407" s="21"/>
      <c r="O407" s="21"/>
      <c r="P407" s="21"/>
      <c r="Q407" s="52" t="str">
        <f t="shared" si="6"/>
        <v/>
      </c>
    </row>
    <row r="408" spans="1:17" x14ac:dyDescent="0.3">
      <c r="A408" s="40" t="s">
        <v>301</v>
      </c>
      <c r="B408" s="57" t="s">
        <v>609</v>
      </c>
      <c r="C408" s="46">
        <v>2.0454313282276337</v>
      </c>
      <c r="D408" s="22">
        <v>107.72540712801988</v>
      </c>
      <c r="E408" s="34">
        <v>107.72540712802</v>
      </c>
      <c r="F408" s="34">
        <v>107.72540712802</v>
      </c>
      <c r="G408" s="34">
        <v>107.72540712802</v>
      </c>
      <c r="H408" s="35">
        <v>107.72540712802</v>
      </c>
      <c r="I408" s="35">
        <v>107.72540712802</v>
      </c>
      <c r="J408" s="34">
        <v>107.72540712802</v>
      </c>
      <c r="K408" s="34">
        <v>107.28538691302199</v>
      </c>
      <c r="L408" s="34">
        <v>107.72540712802</v>
      </c>
      <c r="M408" s="68">
        <v>107.72540712802</v>
      </c>
      <c r="N408" s="21"/>
      <c r="O408" s="21"/>
      <c r="P408" s="21"/>
      <c r="Q408" s="52" t="str">
        <f t="shared" si="6"/>
        <v/>
      </c>
    </row>
    <row r="409" spans="1:17" x14ac:dyDescent="0.3">
      <c r="A409" s="40"/>
      <c r="B409" s="57"/>
      <c r="C409" s="46" t="s">
        <v>716</v>
      </c>
      <c r="D409" s="22" t="s">
        <v>716</v>
      </c>
      <c r="E409" s="34"/>
      <c r="F409" s="34"/>
      <c r="G409" s="34"/>
      <c r="H409" s="35"/>
      <c r="I409" s="35"/>
      <c r="J409" s="34"/>
      <c r="K409" s="34"/>
      <c r="L409" s="34"/>
      <c r="M409" s="68"/>
      <c r="N409" s="21"/>
      <c r="O409" s="21"/>
      <c r="P409" s="21"/>
      <c r="Q409" s="52" t="str">
        <f t="shared" si="6"/>
        <v/>
      </c>
    </row>
    <row r="410" spans="1:17" x14ac:dyDescent="0.3">
      <c r="A410" s="40" t="s">
        <v>199</v>
      </c>
      <c r="B410" s="57" t="s">
        <v>610</v>
      </c>
      <c r="C410" s="46">
        <v>40.810212032968515</v>
      </c>
      <c r="D410" s="22">
        <v>94.707418003226536</v>
      </c>
      <c r="E410" s="34">
        <v>93.256026906149103</v>
      </c>
      <c r="F410" s="34">
        <v>93.118507310884596</v>
      </c>
      <c r="G410" s="34">
        <v>93.051165617714105</v>
      </c>
      <c r="H410" s="35">
        <v>93.043886324824598</v>
      </c>
      <c r="I410" s="35">
        <v>92.795549067560998</v>
      </c>
      <c r="J410" s="34">
        <v>92.9709245802851</v>
      </c>
      <c r="K410" s="34">
        <v>92.803261423242901</v>
      </c>
      <c r="L410" s="34">
        <v>92.754240818391494</v>
      </c>
      <c r="M410" s="68">
        <v>92.659698912885602</v>
      </c>
      <c r="N410" s="21"/>
      <c r="O410" s="21"/>
      <c r="P410" s="21"/>
      <c r="Q410" s="52" t="str">
        <f t="shared" si="6"/>
        <v/>
      </c>
    </row>
    <row r="411" spans="1:17" x14ac:dyDescent="0.3">
      <c r="A411" s="40"/>
      <c r="B411" s="57"/>
      <c r="C411" s="46" t="s">
        <v>716</v>
      </c>
      <c r="D411" s="22" t="s">
        <v>716</v>
      </c>
      <c r="E411" s="34"/>
      <c r="F411" s="34"/>
      <c r="G411" s="34"/>
      <c r="H411" s="35"/>
      <c r="I411" s="35"/>
      <c r="J411" s="34"/>
      <c r="K411" s="34"/>
      <c r="L411" s="34"/>
      <c r="M411" s="68"/>
      <c r="N411" s="21"/>
      <c r="O411" s="21"/>
      <c r="P411" s="21"/>
      <c r="Q411" s="52" t="str">
        <f t="shared" si="6"/>
        <v/>
      </c>
    </row>
    <row r="412" spans="1:17" x14ac:dyDescent="0.3">
      <c r="A412" s="40" t="s">
        <v>133</v>
      </c>
      <c r="B412" s="59" t="s">
        <v>611</v>
      </c>
      <c r="C412" s="46">
        <v>47.091873406534049</v>
      </c>
      <c r="D412" s="22">
        <v>93.295593309030934</v>
      </c>
      <c r="E412" s="34">
        <v>92.187918720408902</v>
      </c>
      <c r="F412" s="34">
        <v>91.8066075579912</v>
      </c>
      <c r="G412" s="34">
        <v>91.9007128337892</v>
      </c>
      <c r="H412" s="35">
        <v>91.787704034806694</v>
      </c>
      <c r="I412" s="35">
        <v>91.603051343103203</v>
      </c>
      <c r="J412" s="34">
        <v>91.7417981769118</v>
      </c>
      <c r="K412" s="34">
        <v>91.409120482415503</v>
      </c>
      <c r="L412" s="34">
        <v>91.454721563562302</v>
      </c>
      <c r="M412" s="68">
        <v>91.624801295015999</v>
      </c>
      <c r="N412" s="21"/>
      <c r="O412" s="21"/>
      <c r="P412" s="21"/>
      <c r="Q412" s="52" t="str">
        <f t="shared" si="6"/>
        <v/>
      </c>
    </row>
    <row r="413" spans="1:17" x14ac:dyDescent="0.3">
      <c r="A413" s="40"/>
      <c r="B413" s="59"/>
      <c r="C413" s="46" t="s">
        <v>716</v>
      </c>
      <c r="D413" s="22" t="s">
        <v>716</v>
      </c>
      <c r="E413" s="34"/>
      <c r="F413" s="34"/>
      <c r="G413" s="34"/>
      <c r="H413" s="35"/>
      <c r="I413" s="35"/>
      <c r="J413" s="34"/>
      <c r="K413" s="34"/>
      <c r="L413" s="34"/>
      <c r="M413" s="68"/>
      <c r="N413" s="21"/>
      <c r="O413" s="21"/>
      <c r="P413" s="21"/>
      <c r="Q413" s="52" t="str">
        <f t="shared" si="6"/>
        <v/>
      </c>
    </row>
    <row r="414" spans="1:17" x14ac:dyDescent="0.3">
      <c r="B414" s="55" t="s">
        <v>612</v>
      </c>
      <c r="C414" s="46" t="s">
        <v>716</v>
      </c>
      <c r="D414" s="22" t="s">
        <v>716</v>
      </c>
      <c r="E414" s="34"/>
      <c r="F414" s="34"/>
      <c r="G414" s="34"/>
      <c r="H414" s="35"/>
      <c r="I414" s="35"/>
      <c r="J414" s="34"/>
      <c r="K414" s="34"/>
      <c r="L414" s="34"/>
      <c r="M414" s="68"/>
      <c r="N414" s="21"/>
      <c r="O414" s="21"/>
      <c r="P414" s="21"/>
      <c r="Q414" s="52" t="str">
        <f t="shared" si="6"/>
        <v/>
      </c>
    </row>
    <row r="415" spans="1:17" x14ac:dyDescent="0.3">
      <c r="A415" s="41"/>
      <c r="B415" s="57"/>
      <c r="C415" s="46" t="s">
        <v>716</v>
      </c>
      <c r="D415" s="22" t="s">
        <v>716</v>
      </c>
      <c r="E415" s="34"/>
      <c r="F415" s="34"/>
      <c r="G415" s="34"/>
      <c r="H415" s="35"/>
      <c r="I415" s="35"/>
      <c r="J415" s="34"/>
      <c r="K415" s="34"/>
      <c r="L415" s="34"/>
      <c r="M415" s="68"/>
      <c r="N415" s="21"/>
      <c r="O415" s="21"/>
      <c r="P415" s="21"/>
      <c r="Q415" s="52" t="str">
        <f t="shared" si="6"/>
        <v/>
      </c>
    </row>
    <row r="416" spans="1:17" x14ac:dyDescent="0.3">
      <c r="A416" s="40" t="s">
        <v>200</v>
      </c>
      <c r="B416" s="57" t="s">
        <v>613</v>
      </c>
      <c r="C416" s="46">
        <v>0.26359997711838434</v>
      </c>
      <c r="D416" s="22">
        <v>80.815389181719084</v>
      </c>
      <c r="E416" s="34">
        <v>82.138756900056705</v>
      </c>
      <c r="F416" s="34">
        <v>83.574074107019896</v>
      </c>
      <c r="G416" s="34">
        <v>84.434493846721395</v>
      </c>
      <c r="H416" s="35">
        <v>84.399773643476905</v>
      </c>
      <c r="I416" s="35">
        <v>83.790928952529299</v>
      </c>
      <c r="J416" s="34">
        <v>83.029248024709105</v>
      </c>
      <c r="K416" s="34">
        <v>82.499657716260998</v>
      </c>
      <c r="L416" s="34">
        <v>82.170570650010703</v>
      </c>
      <c r="M416" s="68">
        <v>84.099792018315</v>
      </c>
      <c r="N416" s="21"/>
      <c r="O416" s="21"/>
      <c r="P416" s="21"/>
      <c r="Q416" s="52" t="str">
        <f t="shared" si="6"/>
        <v/>
      </c>
    </row>
    <row r="417" spans="1:17" x14ac:dyDescent="0.3">
      <c r="A417" s="41"/>
      <c r="B417" s="57"/>
      <c r="C417" s="46" t="s">
        <v>716</v>
      </c>
      <c r="D417" s="22" t="s">
        <v>716</v>
      </c>
      <c r="E417" s="34"/>
      <c r="F417" s="34"/>
      <c r="G417" s="34"/>
      <c r="H417" s="35"/>
      <c r="I417" s="35"/>
      <c r="J417" s="34"/>
      <c r="K417" s="34"/>
      <c r="L417" s="34"/>
      <c r="M417" s="68"/>
      <c r="N417" s="21"/>
      <c r="O417" s="21"/>
      <c r="P417" s="21"/>
      <c r="Q417" s="52" t="str">
        <f t="shared" si="6"/>
        <v/>
      </c>
    </row>
    <row r="418" spans="1:17" x14ac:dyDescent="0.3">
      <c r="A418" s="40" t="s">
        <v>134</v>
      </c>
      <c r="B418" s="57" t="s">
        <v>614</v>
      </c>
      <c r="C418" s="46">
        <v>0.26359997711838434</v>
      </c>
      <c r="D418" s="22">
        <v>80.815389181719084</v>
      </c>
      <c r="E418" s="34">
        <v>82.138756900056705</v>
      </c>
      <c r="F418" s="34">
        <v>83.574074107019896</v>
      </c>
      <c r="G418" s="34">
        <v>84.434493846721395</v>
      </c>
      <c r="H418" s="35">
        <v>84.399773643476905</v>
      </c>
      <c r="I418" s="35">
        <v>83.790928952529299</v>
      </c>
      <c r="J418" s="34">
        <v>83.029248024709105</v>
      </c>
      <c r="K418" s="34">
        <v>82.499657716260998</v>
      </c>
      <c r="L418" s="34">
        <v>82.170570650010703</v>
      </c>
      <c r="M418" s="68">
        <v>84.099792018315</v>
      </c>
      <c r="N418" s="21"/>
      <c r="O418" s="21"/>
      <c r="P418" s="21"/>
      <c r="Q418" s="52" t="str">
        <f t="shared" si="6"/>
        <v/>
      </c>
    </row>
    <row r="419" spans="1:17" x14ac:dyDescent="0.3">
      <c r="A419" s="40"/>
      <c r="B419" s="57"/>
      <c r="C419" s="46" t="s">
        <v>716</v>
      </c>
      <c r="D419" s="22" t="s">
        <v>716</v>
      </c>
      <c r="E419" s="34"/>
      <c r="F419" s="34"/>
      <c r="G419" s="34"/>
      <c r="H419" s="35"/>
      <c r="I419" s="35"/>
      <c r="J419" s="34"/>
      <c r="K419" s="34"/>
      <c r="L419" s="34"/>
      <c r="M419" s="68"/>
      <c r="N419" s="21"/>
      <c r="O419" s="21"/>
      <c r="P419" s="21"/>
      <c r="Q419" s="52" t="str">
        <f t="shared" si="6"/>
        <v/>
      </c>
    </row>
    <row r="420" spans="1:17" x14ac:dyDescent="0.3">
      <c r="A420" s="41" t="s">
        <v>302</v>
      </c>
      <c r="B420" s="57" t="s">
        <v>615</v>
      </c>
      <c r="C420" s="46">
        <v>10.452637125570773</v>
      </c>
      <c r="D420" s="22">
        <v>105.85819428579082</v>
      </c>
      <c r="E420" s="34">
        <v>105.71593977788901</v>
      </c>
      <c r="F420" s="34">
        <v>105.71593977788901</v>
      </c>
      <c r="G420" s="34">
        <v>103.719504794773</v>
      </c>
      <c r="H420" s="35">
        <v>103.420013697925</v>
      </c>
      <c r="I420" s="35">
        <v>103.420013697925</v>
      </c>
      <c r="J420" s="34">
        <v>103.479985786312</v>
      </c>
      <c r="K420" s="34">
        <v>103.526879765548</v>
      </c>
      <c r="L420" s="34">
        <v>103.79164839660901</v>
      </c>
      <c r="M420" s="68">
        <v>104.12019938992999</v>
      </c>
      <c r="N420" s="21"/>
      <c r="O420" s="21"/>
      <c r="P420" s="21"/>
      <c r="Q420" s="52" t="str">
        <f t="shared" si="6"/>
        <v/>
      </c>
    </row>
    <row r="421" spans="1:17" x14ac:dyDescent="0.3">
      <c r="A421" s="41"/>
      <c r="B421" s="57"/>
      <c r="C421" s="46" t="s">
        <v>716</v>
      </c>
      <c r="D421" s="22" t="s">
        <v>716</v>
      </c>
      <c r="E421" s="34"/>
      <c r="F421" s="34"/>
      <c r="G421" s="34"/>
      <c r="H421" s="35"/>
      <c r="I421" s="35"/>
      <c r="J421" s="34"/>
      <c r="K421" s="34"/>
      <c r="L421" s="34"/>
      <c r="M421" s="68"/>
      <c r="N421" s="21"/>
      <c r="O421" s="21"/>
      <c r="P421" s="21"/>
      <c r="Q421" s="52" t="str">
        <f t="shared" si="6"/>
        <v/>
      </c>
    </row>
    <row r="422" spans="1:17" x14ac:dyDescent="0.3">
      <c r="A422" s="41" t="s">
        <v>135</v>
      </c>
      <c r="B422" s="57" t="s">
        <v>616</v>
      </c>
      <c r="C422" s="46">
        <v>10.452637125570773</v>
      </c>
      <c r="D422" s="22">
        <v>105.85819428579082</v>
      </c>
      <c r="E422" s="34">
        <v>105.71593977788901</v>
      </c>
      <c r="F422" s="34">
        <v>105.71593977788901</v>
      </c>
      <c r="G422" s="34">
        <v>103.719504794773</v>
      </c>
      <c r="H422" s="35">
        <v>103.420013697925</v>
      </c>
      <c r="I422" s="35">
        <v>103.420013697925</v>
      </c>
      <c r="J422" s="34">
        <v>103.479985786312</v>
      </c>
      <c r="K422" s="34">
        <v>103.526879765548</v>
      </c>
      <c r="L422" s="34">
        <v>103.79164839660901</v>
      </c>
      <c r="M422" s="68">
        <v>104.12019938992999</v>
      </c>
      <c r="N422" s="21"/>
      <c r="O422" s="21"/>
      <c r="P422" s="21"/>
      <c r="Q422" s="52" t="str">
        <f t="shared" si="6"/>
        <v/>
      </c>
    </row>
    <row r="423" spans="1:17" x14ac:dyDescent="0.3">
      <c r="A423" s="40"/>
      <c r="B423" s="57"/>
      <c r="C423" s="46" t="s">
        <v>716</v>
      </c>
      <c r="D423" s="22" t="s">
        <v>716</v>
      </c>
      <c r="E423" s="34"/>
      <c r="F423" s="34"/>
      <c r="G423" s="34"/>
      <c r="H423" s="35"/>
      <c r="I423" s="35"/>
      <c r="J423" s="34"/>
      <c r="K423" s="34"/>
      <c r="L423" s="34"/>
      <c r="M423" s="68"/>
      <c r="N423" s="21"/>
      <c r="O423" s="21"/>
      <c r="P423" s="21"/>
      <c r="Q423" s="52" t="str">
        <f t="shared" si="6"/>
        <v/>
      </c>
    </row>
    <row r="424" spans="1:17" x14ac:dyDescent="0.3">
      <c r="A424" s="41" t="s">
        <v>136</v>
      </c>
      <c r="B424" s="57" t="s">
        <v>617</v>
      </c>
      <c r="C424" s="46">
        <v>10.716237102689156</v>
      </c>
      <c r="D424" s="22">
        <v>105.56263576867606</v>
      </c>
      <c r="E424" s="34">
        <v>105.466788506977</v>
      </c>
      <c r="F424" s="34">
        <v>105.51290614989099</v>
      </c>
      <c r="G424" s="34">
        <v>103.598662649075</v>
      </c>
      <c r="H424" s="35">
        <v>103.306238524932</v>
      </c>
      <c r="I424" s="35">
        <v>103.286675962795</v>
      </c>
      <c r="J424" s="34">
        <v>103.32053623566701</v>
      </c>
      <c r="K424" s="34">
        <v>103.349132930625</v>
      </c>
      <c r="L424" s="34">
        <v>103.596093903873</v>
      </c>
      <c r="M424" s="68">
        <v>103.977655475441</v>
      </c>
      <c r="N424" s="21"/>
      <c r="O424" s="21"/>
      <c r="P424" s="21"/>
      <c r="Q424" s="52" t="str">
        <f t="shared" si="6"/>
        <v/>
      </c>
    </row>
    <row r="425" spans="1:17" x14ac:dyDescent="0.3">
      <c r="A425" s="40"/>
      <c r="B425" s="57"/>
      <c r="C425" s="46" t="s">
        <v>716</v>
      </c>
      <c r="D425" s="22" t="s">
        <v>716</v>
      </c>
      <c r="E425" s="34"/>
      <c r="F425" s="34"/>
      <c r="G425" s="34"/>
      <c r="H425" s="35"/>
      <c r="I425" s="35"/>
      <c r="J425" s="34"/>
      <c r="K425" s="34"/>
      <c r="L425" s="34"/>
      <c r="M425" s="68"/>
      <c r="N425" s="21"/>
      <c r="O425" s="21"/>
      <c r="P425" s="21"/>
      <c r="Q425" s="52" t="str">
        <f t="shared" si="6"/>
        <v/>
      </c>
    </row>
    <row r="426" spans="1:17" x14ac:dyDescent="0.3">
      <c r="A426" s="41" t="s">
        <v>303</v>
      </c>
      <c r="B426" s="57" t="s">
        <v>618</v>
      </c>
      <c r="C426" s="46">
        <v>1.3114714454404215</v>
      </c>
      <c r="D426" s="22">
        <v>75.513137267627471</v>
      </c>
      <c r="E426" s="34">
        <v>80.244609629462303</v>
      </c>
      <c r="F426" s="34">
        <v>77.947930829659796</v>
      </c>
      <c r="G426" s="34">
        <v>78.343090357718907</v>
      </c>
      <c r="H426" s="35">
        <v>80.234662643528907</v>
      </c>
      <c r="I426" s="35">
        <v>80.139724859990196</v>
      </c>
      <c r="J426" s="34">
        <v>79.716317259415106</v>
      </c>
      <c r="K426" s="34">
        <v>80.327420961116999</v>
      </c>
      <c r="L426" s="34">
        <v>82.9926830659887</v>
      </c>
      <c r="M426" s="68">
        <v>83.862029198115707</v>
      </c>
      <c r="N426" s="21"/>
      <c r="O426" s="21"/>
      <c r="P426" s="21"/>
      <c r="Q426" s="52" t="str">
        <f t="shared" si="6"/>
        <v/>
      </c>
    </row>
    <row r="427" spans="1:17" x14ac:dyDescent="0.3">
      <c r="A427" s="40" t="s">
        <v>304</v>
      </c>
      <c r="B427" s="57" t="s">
        <v>619</v>
      </c>
      <c r="C427" s="46">
        <v>1.4710373484720849</v>
      </c>
      <c r="D427" s="22">
        <v>111.50723927707656</v>
      </c>
      <c r="E427" s="34">
        <v>113.432644794773</v>
      </c>
      <c r="F427" s="34">
        <v>113.618936026398</v>
      </c>
      <c r="G427" s="34">
        <v>113.892264577365</v>
      </c>
      <c r="H427" s="35">
        <v>114.225301135265</v>
      </c>
      <c r="I427" s="35">
        <v>114.948491234228</v>
      </c>
      <c r="J427" s="34">
        <v>114.197715612791</v>
      </c>
      <c r="K427" s="34">
        <v>112.243422077166</v>
      </c>
      <c r="L427" s="34">
        <v>113.026590569547</v>
      </c>
      <c r="M427" s="68">
        <v>115.204219885654</v>
      </c>
      <c r="N427" s="21"/>
      <c r="O427" s="21"/>
      <c r="P427" s="21"/>
      <c r="Q427" s="52" t="str">
        <f t="shared" si="6"/>
        <v/>
      </c>
    </row>
    <row r="428" spans="1:17" x14ac:dyDescent="0.3">
      <c r="A428" s="40"/>
      <c r="B428" s="57"/>
      <c r="C428" s="46" t="s">
        <v>716</v>
      </c>
      <c r="D428" s="22" t="s">
        <v>716</v>
      </c>
      <c r="E428" s="34"/>
      <c r="F428" s="34"/>
      <c r="G428" s="34"/>
      <c r="H428" s="35"/>
      <c r="I428" s="35"/>
      <c r="J428" s="34"/>
      <c r="K428" s="34"/>
      <c r="L428" s="34"/>
      <c r="M428" s="68"/>
      <c r="N428" s="21"/>
      <c r="O428" s="21"/>
      <c r="P428" s="21"/>
      <c r="Q428" s="52" t="str">
        <f t="shared" si="6"/>
        <v/>
      </c>
    </row>
    <row r="429" spans="1:17" x14ac:dyDescent="0.3">
      <c r="A429" s="41" t="s">
        <v>137</v>
      </c>
      <c r="B429" s="57" t="s">
        <v>620</v>
      </c>
      <c r="C429" s="46">
        <v>2.7825087939125064</v>
      </c>
      <c r="D429" s="22">
        <v>102.30792560192185</v>
      </c>
      <c r="E429" s="34">
        <v>106.26323841381</v>
      </c>
      <c r="F429" s="34">
        <v>104.887008373942</v>
      </c>
      <c r="G429" s="34">
        <v>105.271925819611</v>
      </c>
      <c r="H429" s="35">
        <v>106.641370590275</v>
      </c>
      <c r="I429" s="35">
        <v>106.931534992026</v>
      </c>
      <c r="J429" s="34">
        <v>106.29698979223799</v>
      </c>
      <c r="K429" s="34">
        <v>105.73927772151499</v>
      </c>
      <c r="L429" s="34">
        <v>107.821118166183</v>
      </c>
      <c r="M429" s="68">
        <v>109.432533010002</v>
      </c>
      <c r="N429" s="21"/>
      <c r="O429" s="21"/>
      <c r="P429" s="21"/>
      <c r="Q429" s="52" t="str">
        <f t="shared" si="6"/>
        <v/>
      </c>
    </row>
    <row r="430" spans="1:17" x14ac:dyDescent="0.3">
      <c r="A430" s="40"/>
      <c r="B430" s="57"/>
      <c r="C430" s="46" t="s">
        <v>716</v>
      </c>
      <c r="D430" s="22" t="s">
        <v>716</v>
      </c>
      <c r="E430" s="34"/>
      <c r="F430" s="34"/>
      <c r="G430" s="34"/>
      <c r="H430" s="35"/>
      <c r="I430" s="35"/>
      <c r="J430" s="34"/>
      <c r="K430" s="34"/>
      <c r="L430" s="34"/>
      <c r="M430" s="68"/>
      <c r="N430" s="21"/>
      <c r="O430" s="21"/>
      <c r="P430" s="21"/>
      <c r="Q430" s="52" t="str">
        <f t="shared" si="6"/>
        <v/>
      </c>
    </row>
    <row r="431" spans="1:17" x14ac:dyDescent="0.3">
      <c r="A431" s="41" t="s">
        <v>201</v>
      </c>
      <c r="B431" s="57" t="s">
        <v>621</v>
      </c>
      <c r="C431" s="46">
        <v>1.4488278458699231</v>
      </c>
      <c r="D431" s="22">
        <v>100.57776783455098</v>
      </c>
      <c r="E431" s="34">
        <v>96.524660049688194</v>
      </c>
      <c r="F431" s="34">
        <v>95.980899366126593</v>
      </c>
      <c r="G431" s="34">
        <v>99.809012795014596</v>
      </c>
      <c r="H431" s="35">
        <v>97.197985973349006</v>
      </c>
      <c r="I431" s="35">
        <v>97.202698223634997</v>
      </c>
      <c r="J431" s="34">
        <v>98.433929194393201</v>
      </c>
      <c r="K431" s="34">
        <v>95.354397688131499</v>
      </c>
      <c r="L431" s="34">
        <v>95.507122295702004</v>
      </c>
      <c r="M431" s="68">
        <v>99.436218867965707</v>
      </c>
      <c r="N431" s="21"/>
      <c r="O431" s="21"/>
      <c r="P431" s="21"/>
      <c r="Q431" s="52" t="str">
        <f t="shared" si="6"/>
        <v/>
      </c>
    </row>
    <row r="432" spans="1:17" x14ac:dyDescent="0.3">
      <c r="A432" s="42" t="s">
        <v>305</v>
      </c>
      <c r="B432" s="59" t="s">
        <v>622</v>
      </c>
      <c r="C432" s="46">
        <v>1.1557217849402225E-2</v>
      </c>
      <c r="D432" s="22">
        <v>106.416371610429</v>
      </c>
      <c r="E432" s="34">
        <v>106.450104037393</v>
      </c>
      <c r="F432" s="34">
        <v>105.714885452224</v>
      </c>
      <c r="G432" s="34">
        <v>105.49622863955101</v>
      </c>
      <c r="H432" s="35">
        <v>105.66666874885701</v>
      </c>
      <c r="I432" s="35">
        <v>106.574944244289</v>
      </c>
      <c r="J432" s="34">
        <v>104.207764038237</v>
      </c>
      <c r="K432" s="34">
        <v>103.53249769411801</v>
      </c>
      <c r="L432" s="34">
        <v>103.576810512092</v>
      </c>
      <c r="M432" s="68">
        <v>103.98634307738</v>
      </c>
      <c r="N432" s="21"/>
      <c r="O432" s="21"/>
      <c r="P432" s="21"/>
      <c r="Q432" s="52" t="str">
        <f t="shared" si="6"/>
        <v/>
      </c>
    </row>
    <row r="433" spans="1:17" x14ac:dyDescent="0.3">
      <c r="A433" s="40"/>
      <c r="B433" s="57"/>
      <c r="C433" s="46" t="s">
        <v>716</v>
      </c>
      <c r="D433" s="22" t="s">
        <v>716</v>
      </c>
      <c r="E433" s="34"/>
      <c r="F433" s="34"/>
      <c r="G433" s="34"/>
      <c r="H433" s="35"/>
      <c r="I433" s="35"/>
      <c r="J433" s="34"/>
      <c r="K433" s="34"/>
      <c r="L433" s="34"/>
      <c r="M433" s="68"/>
      <c r="N433" s="21"/>
      <c r="O433" s="21"/>
      <c r="P433" s="21"/>
      <c r="Q433" s="52" t="str">
        <f t="shared" si="6"/>
        <v/>
      </c>
    </row>
    <row r="434" spans="1:17" x14ac:dyDescent="0.3">
      <c r="A434" s="40" t="s">
        <v>138</v>
      </c>
      <c r="B434" s="57" t="s">
        <v>623</v>
      </c>
      <c r="C434" s="46">
        <v>1.4603850637193254</v>
      </c>
      <c r="D434" s="22">
        <v>100.65372731408266</v>
      </c>
      <c r="E434" s="34">
        <v>96.6299107629346</v>
      </c>
      <c r="F434" s="34">
        <v>96.084542578027694</v>
      </c>
      <c r="G434" s="34">
        <v>99.883592550446195</v>
      </c>
      <c r="H434" s="35">
        <v>97.292548379230098</v>
      </c>
      <c r="I434" s="35">
        <v>97.304025553464101</v>
      </c>
      <c r="J434" s="34">
        <v>98.508716317640094</v>
      </c>
      <c r="K434" s="34">
        <v>95.446193753034393</v>
      </c>
      <c r="L434" s="34">
        <v>95.598155849157607</v>
      </c>
      <c r="M434" s="68">
        <v>99.502167630680901</v>
      </c>
      <c r="N434" s="21"/>
      <c r="O434" s="21"/>
      <c r="P434" s="21"/>
      <c r="Q434" s="52" t="str">
        <f t="shared" si="6"/>
        <v/>
      </c>
    </row>
    <row r="435" spans="1:17" x14ac:dyDescent="0.3">
      <c r="A435" s="39"/>
      <c r="B435" s="56"/>
      <c r="C435" s="46" t="s">
        <v>716</v>
      </c>
      <c r="D435" s="22" t="s">
        <v>716</v>
      </c>
      <c r="E435" s="34"/>
      <c r="F435" s="34"/>
      <c r="G435" s="34"/>
      <c r="H435" s="35"/>
      <c r="I435" s="35"/>
      <c r="J435" s="34"/>
      <c r="K435" s="34"/>
      <c r="L435" s="34"/>
      <c r="M435" s="68"/>
      <c r="N435" s="21"/>
      <c r="O435" s="21"/>
      <c r="P435" s="21"/>
      <c r="Q435" s="52" t="str">
        <f t="shared" si="6"/>
        <v/>
      </c>
    </row>
    <row r="436" spans="1:17" x14ac:dyDescent="0.3">
      <c r="A436" s="42" t="s">
        <v>139</v>
      </c>
      <c r="B436" s="59" t="s">
        <v>624</v>
      </c>
      <c r="C436" s="46">
        <v>4.2428938576318318</v>
      </c>
      <c r="D436" s="22">
        <v>101.5682534954331</v>
      </c>
      <c r="E436" s="34">
        <v>102.74584835476701</v>
      </c>
      <c r="F436" s="34">
        <v>101.660416929953</v>
      </c>
      <c r="G436" s="34">
        <v>103.230519285176</v>
      </c>
      <c r="H436" s="35">
        <v>103.22218543878</v>
      </c>
      <c r="I436" s="35">
        <v>103.415087059315</v>
      </c>
      <c r="J436" s="34">
        <v>103.42037470453199</v>
      </c>
      <c r="K436" s="34">
        <v>101.993584932204</v>
      </c>
      <c r="L436" s="34">
        <v>103.40177433854799</v>
      </c>
      <c r="M436" s="68">
        <v>105.80685952901</v>
      </c>
      <c r="N436" s="21"/>
      <c r="O436" s="21"/>
      <c r="P436" s="21"/>
      <c r="Q436" s="52" t="str">
        <f t="shared" si="6"/>
        <v/>
      </c>
    </row>
    <row r="437" spans="1:17" x14ac:dyDescent="0.3">
      <c r="A437" s="41"/>
      <c r="B437" s="57"/>
      <c r="C437" s="46" t="s">
        <v>716</v>
      </c>
      <c r="D437" s="22" t="s">
        <v>716</v>
      </c>
      <c r="E437" s="34"/>
      <c r="F437" s="34"/>
      <c r="G437" s="34"/>
      <c r="H437" s="35"/>
      <c r="I437" s="35"/>
      <c r="J437" s="34"/>
      <c r="K437" s="34"/>
      <c r="L437" s="34"/>
      <c r="M437" s="68"/>
      <c r="N437" s="21"/>
      <c r="O437" s="21"/>
      <c r="P437" s="21"/>
      <c r="Q437" s="52" t="str">
        <f t="shared" si="6"/>
        <v/>
      </c>
    </row>
    <row r="438" spans="1:17" x14ac:dyDescent="0.3">
      <c r="A438" s="40" t="s">
        <v>140</v>
      </c>
      <c r="B438" s="57" t="s">
        <v>625</v>
      </c>
      <c r="C438" s="46">
        <v>1.103064640910725</v>
      </c>
      <c r="D438" s="22">
        <v>114.19009510809784</v>
      </c>
      <c r="E438" s="34">
        <v>115.187929140268</v>
      </c>
      <c r="F438" s="34">
        <v>115.26092638111901</v>
      </c>
      <c r="G438" s="34">
        <v>114.67928168229</v>
      </c>
      <c r="H438" s="35">
        <v>115.437264893741</v>
      </c>
      <c r="I438" s="35">
        <v>114.820260039846</v>
      </c>
      <c r="J438" s="34">
        <v>115.32266308230599</v>
      </c>
      <c r="K438" s="34">
        <v>114.959684047376</v>
      </c>
      <c r="L438" s="34">
        <v>114.93858329549001</v>
      </c>
      <c r="M438" s="68">
        <v>115.132685699213</v>
      </c>
      <c r="N438" s="21"/>
      <c r="O438" s="21"/>
      <c r="P438" s="21"/>
      <c r="Q438" s="52" t="str">
        <f t="shared" si="6"/>
        <v/>
      </c>
    </row>
    <row r="439" spans="1:17" x14ac:dyDescent="0.3">
      <c r="A439" s="41" t="s">
        <v>141</v>
      </c>
      <c r="B439" s="57" t="s">
        <v>626</v>
      </c>
      <c r="C439" s="46">
        <v>1.8157981391810538</v>
      </c>
      <c r="D439" s="22">
        <v>132.42580915111174</v>
      </c>
      <c r="E439" s="34">
        <v>133.34505945237399</v>
      </c>
      <c r="F439" s="34">
        <v>133.93492179032501</v>
      </c>
      <c r="G439" s="34">
        <v>135.00578522453301</v>
      </c>
      <c r="H439" s="35">
        <v>135.889318205819</v>
      </c>
      <c r="I439" s="35">
        <v>137.56005347446401</v>
      </c>
      <c r="J439" s="34">
        <v>139.376198975074</v>
      </c>
      <c r="K439" s="34">
        <v>138.01167685088399</v>
      </c>
      <c r="L439" s="34">
        <v>138.46619094663799</v>
      </c>
      <c r="M439" s="68">
        <v>138.77851110445499</v>
      </c>
      <c r="N439" s="21"/>
      <c r="O439" s="21"/>
      <c r="P439" s="21"/>
      <c r="Q439" s="52" t="str">
        <f t="shared" si="6"/>
        <v/>
      </c>
    </row>
    <row r="440" spans="1:17" x14ac:dyDescent="0.3">
      <c r="A440" s="40"/>
      <c r="B440" s="57"/>
      <c r="C440" s="46" t="s">
        <v>716</v>
      </c>
      <c r="D440" s="22" t="s">
        <v>716</v>
      </c>
      <c r="E440" s="34"/>
      <c r="F440" s="34"/>
      <c r="G440" s="34"/>
      <c r="H440" s="35"/>
      <c r="I440" s="35"/>
      <c r="J440" s="34"/>
      <c r="K440" s="34"/>
      <c r="L440" s="34"/>
      <c r="M440" s="68"/>
      <c r="N440" s="21"/>
      <c r="O440" s="21"/>
      <c r="P440" s="21"/>
      <c r="Q440" s="52" t="str">
        <f t="shared" si="6"/>
        <v/>
      </c>
    </row>
    <row r="441" spans="1:17" x14ac:dyDescent="0.3">
      <c r="A441" s="40" t="s">
        <v>202</v>
      </c>
      <c r="B441" s="57" t="s">
        <v>627</v>
      </c>
      <c r="C441" s="46">
        <v>2.9188627800917786</v>
      </c>
      <c r="D441" s="22">
        <v>125.97521538689101</v>
      </c>
      <c r="E441" s="34">
        <v>126.935225508879</v>
      </c>
      <c r="F441" s="34">
        <v>127.314732524322</v>
      </c>
      <c r="G441" s="34">
        <v>127.70596254642101</v>
      </c>
      <c r="H441" s="35">
        <v>128.54483899196899</v>
      </c>
      <c r="I441" s="35">
        <v>129.27632407896201</v>
      </c>
      <c r="J441" s="34">
        <v>130.56055535381199</v>
      </c>
      <c r="K441" s="34">
        <v>129.60171698502899</v>
      </c>
      <c r="L441" s="34">
        <v>129.86189595362401</v>
      </c>
      <c r="M441" s="68">
        <v>130.12764690373001</v>
      </c>
      <c r="N441" s="21"/>
      <c r="O441" s="21"/>
      <c r="P441" s="21"/>
      <c r="Q441" s="52" t="str">
        <f t="shared" si="6"/>
        <v/>
      </c>
    </row>
    <row r="442" spans="1:17" x14ac:dyDescent="0.3">
      <c r="A442" s="41"/>
      <c r="B442" s="57"/>
      <c r="C442" s="46" t="s">
        <v>716</v>
      </c>
      <c r="D442" s="22" t="s">
        <v>716</v>
      </c>
      <c r="E442" s="34"/>
      <c r="F442" s="34"/>
      <c r="G442" s="34"/>
      <c r="H442" s="35"/>
      <c r="I442" s="35"/>
      <c r="J442" s="34"/>
      <c r="K442" s="34"/>
      <c r="L442" s="34"/>
      <c r="M442" s="68"/>
      <c r="N442" s="21"/>
      <c r="O442" s="21"/>
      <c r="P442" s="21"/>
      <c r="Q442" s="52" t="str">
        <f t="shared" si="6"/>
        <v/>
      </c>
    </row>
    <row r="443" spans="1:17" x14ac:dyDescent="0.3">
      <c r="A443" s="40" t="s">
        <v>203</v>
      </c>
      <c r="B443" s="57" t="s">
        <v>628</v>
      </c>
      <c r="C443" s="46">
        <v>0.16684623212533556</v>
      </c>
      <c r="D443" s="22">
        <v>107.92220586582103</v>
      </c>
      <c r="E443" s="34">
        <v>109.879184220262</v>
      </c>
      <c r="F443" s="34">
        <v>111.023428105088</v>
      </c>
      <c r="G443" s="34">
        <v>111.410664716154</v>
      </c>
      <c r="H443" s="35">
        <v>111.496539194424</v>
      </c>
      <c r="I443" s="35">
        <v>111.579011804892</v>
      </c>
      <c r="J443" s="34">
        <v>111.579011804892</v>
      </c>
      <c r="K443" s="34">
        <v>111.84893260207799</v>
      </c>
      <c r="L443" s="34">
        <v>112.114156482019</v>
      </c>
      <c r="M443" s="68">
        <v>112.278781578422</v>
      </c>
      <c r="N443" s="21"/>
      <c r="O443" s="21"/>
      <c r="P443" s="21"/>
      <c r="Q443" s="52" t="str">
        <f t="shared" si="6"/>
        <v/>
      </c>
    </row>
    <row r="444" spans="1:17" x14ac:dyDescent="0.3">
      <c r="A444" s="41" t="s">
        <v>204</v>
      </c>
      <c r="B444" s="57" t="s">
        <v>629</v>
      </c>
      <c r="C444" s="46">
        <v>1.4998756345464768</v>
      </c>
      <c r="D444" s="22">
        <v>129.76557175877025</v>
      </c>
      <c r="E444" s="34">
        <v>131.69626778466201</v>
      </c>
      <c r="F444" s="34">
        <v>130.450801687823</v>
      </c>
      <c r="G444" s="34">
        <v>131.79075714749399</v>
      </c>
      <c r="H444" s="35">
        <v>133.85706926529801</v>
      </c>
      <c r="I444" s="35">
        <v>132.89882763076301</v>
      </c>
      <c r="J444" s="34">
        <v>133.52275419955399</v>
      </c>
      <c r="K444" s="34">
        <v>130.863382391333</v>
      </c>
      <c r="L444" s="34">
        <v>133.72197257376601</v>
      </c>
      <c r="M444" s="68">
        <v>131.71389091858001</v>
      </c>
      <c r="N444" s="21"/>
      <c r="O444" s="21"/>
      <c r="P444" s="21"/>
      <c r="Q444" s="52" t="str">
        <f t="shared" si="6"/>
        <v/>
      </c>
    </row>
    <row r="445" spans="1:17" x14ac:dyDescent="0.3">
      <c r="A445" s="40"/>
      <c r="B445" s="57"/>
      <c r="C445" s="46" t="s">
        <v>716</v>
      </c>
      <c r="D445" s="22" t="s">
        <v>716</v>
      </c>
      <c r="E445" s="34"/>
      <c r="F445" s="34"/>
      <c r="G445" s="34"/>
      <c r="H445" s="35"/>
      <c r="I445" s="35"/>
      <c r="J445" s="34"/>
      <c r="K445" s="34"/>
      <c r="L445" s="34"/>
      <c r="M445" s="68"/>
      <c r="N445" s="21"/>
      <c r="O445" s="21"/>
      <c r="P445" s="21"/>
      <c r="Q445" s="52" t="str">
        <f t="shared" si="6"/>
        <v/>
      </c>
    </row>
    <row r="446" spans="1:17" x14ac:dyDescent="0.3">
      <c r="A446" s="40" t="s">
        <v>142</v>
      </c>
      <c r="B446" s="57" t="s">
        <v>630</v>
      </c>
      <c r="C446" s="46">
        <v>1.6667218666718124</v>
      </c>
      <c r="D446" s="22">
        <v>128.39503692462529</v>
      </c>
      <c r="E446" s="34">
        <v>130.34717652973799</v>
      </c>
      <c r="F446" s="34">
        <v>129.374497288247</v>
      </c>
      <c r="G446" s="34">
        <v>130.61369950762099</v>
      </c>
      <c r="H446" s="35">
        <v>132.46375282899501</v>
      </c>
      <c r="I446" s="35">
        <v>131.62036490252899</v>
      </c>
      <c r="J446" s="34">
        <v>132.17590364121099</v>
      </c>
      <c r="K446" s="34">
        <v>129.84016834032499</v>
      </c>
      <c r="L446" s="34">
        <v>132.41701857165901</v>
      </c>
      <c r="M446" s="68">
        <v>130.64864619499701</v>
      </c>
      <c r="N446" s="21"/>
      <c r="O446" s="21"/>
      <c r="P446" s="21"/>
      <c r="Q446" s="52" t="str">
        <f t="shared" si="6"/>
        <v/>
      </c>
    </row>
    <row r="447" spans="1:17" x14ac:dyDescent="0.3">
      <c r="A447" s="41"/>
      <c r="B447" s="57"/>
      <c r="C447" s="46" t="s">
        <v>716</v>
      </c>
      <c r="D447" s="22" t="s">
        <v>716</v>
      </c>
      <c r="E447" s="34"/>
      <c r="F447" s="34"/>
      <c r="G447" s="34"/>
      <c r="H447" s="35"/>
      <c r="I447" s="35"/>
      <c r="J447" s="34"/>
      <c r="K447" s="34"/>
      <c r="L447" s="34"/>
      <c r="M447" s="68"/>
      <c r="N447" s="21"/>
      <c r="O447" s="21"/>
      <c r="P447" s="21"/>
      <c r="Q447" s="52" t="str">
        <f t="shared" si="6"/>
        <v/>
      </c>
    </row>
    <row r="448" spans="1:17" x14ac:dyDescent="0.3">
      <c r="A448" s="40" t="s">
        <v>143</v>
      </c>
      <c r="B448" s="57" t="s">
        <v>631</v>
      </c>
      <c r="C448" s="46">
        <v>4.585584646763591</v>
      </c>
      <c r="D448" s="22">
        <v>127.08714092751424</v>
      </c>
      <c r="E448" s="34">
        <v>128.40592613960001</v>
      </c>
      <c r="F448" s="34">
        <v>128.299687726732</v>
      </c>
      <c r="G448" s="34">
        <v>128.99674003778199</v>
      </c>
      <c r="H448" s="35">
        <v>130.20101212723401</v>
      </c>
      <c r="I448" s="35">
        <v>130.36731069918201</v>
      </c>
      <c r="J448" s="34">
        <v>131.39184259018</v>
      </c>
      <c r="K448" s="34">
        <v>129.93580459661399</v>
      </c>
      <c r="L448" s="34">
        <v>131.029944801493</v>
      </c>
      <c r="M448" s="68">
        <v>130.56439366344699</v>
      </c>
      <c r="N448" s="21"/>
      <c r="O448" s="21"/>
      <c r="P448" s="21"/>
      <c r="Q448" s="52" t="str">
        <f t="shared" si="6"/>
        <v/>
      </c>
    </row>
    <row r="449" spans="1:17" x14ac:dyDescent="0.3">
      <c r="A449" s="41"/>
      <c r="B449" s="57"/>
      <c r="C449" s="46" t="s">
        <v>716</v>
      </c>
      <c r="D449" s="22" t="s">
        <v>716</v>
      </c>
      <c r="E449" s="34"/>
      <c r="F449" s="34"/>
      <c r="G449" s="34"/>
      <c r="H449" s="35"/>
      <c r="I449" s="35"/>
      <c r="J449" s="34"/>
      <c r="K449" s="34"/>
      <c r="L449" s="34"/>
      <c r="M449" s="68"/>
      <c r="N449" s="21"/>
      <c r="O449" s="21"/>
      <c r="P449" s="21"/>
      <c r="Q449" s="52" t="str">
        <f t="shared" si="6"/>
        <v/>
      </c>
    </row>
    <row r="450" spans="1:17" x14ac:dyDescent="0.3">
      <c r="A450" s="40" t="s">
        <v>144</v>
      </c>
      <c r="B450" s="57" t="s">
        <v>632</v>
      </c>
      <c r="C450" s="46">
        <v>0.62206878662582232</v>
      </c>
      <c r="D450" s="22">
        <v>113.43354481191645</v>
      </c>
      <c r="E450" s="34">
        <v>113.43354481191599</v>
      </c>
      <c r="F450" s="34">
        <v>113.43354481191599</v>
      </c>
      <c r="G450" s="34">
        <v>113.43354481191599</v>
      </c>
      <c r="H450" s="35">
        <v>113.43354481191599</v>
      </c>
      <c r="I450" s="35">
        <v>128.520206271901</v>
      </c>
      <c r="J450" s="34">
        <v>128.520206271901</v>
      </c>
      <c r="K450" s="34">
        <v>128.520206271901</v>
      </c>
      <c r="L450" s="34">
        <v>128.520206271901</v>
      </c>
      <c r="M450" s="68">
        <v>128.520206271901</v>
      </c>
      <c r="N450" s="21"/>
      <c r="O450" s="21"/>
      <c r="P450" s="21"/>
      <c r="Q450" s="52" t="str">
        <f t="shared" si="6"/>
        <v/>
      </c>
    </row>
    <row r="451" spans="1:17" x14ac:dyDescent="0.3">
      <c r="A451" s="40"/>
      <c r="B451" s="57"/>
      <c r="C451" s="46" t="s">
        <v>716</v>
      </c>
      <c r="D451" s="22" t="s">
        <v>716</v>
      </c>
      <c r="E451" s="34"/>
      <c r="F451" s="34"/>
      <c r="G451" s="34"/>
      <c r="H451" s="35"/>
      <c r="I451" s="35"/>
      <c r="J451" s="34"/>
      <c r="K451" s="34"/>
      <c r="L451" s="34"/>
      <c r="M451" s="68"/>
      <c r="N451" s="21"/>
      <c r="O451" s="21"/>
      <c r="P451" s="21"/>
      <c r="Q451" s="52" t="str">
        <f t="shared" si="6"/>
        <v/>
      </c>
    </row>
    <row r="452" spans="1:17" x14ac:dyDescent="0.3">
      <c r="A452" s="41" t="s">
        <v>145</v>
      </c>
      <c r="B452" s="57" t="s">
        <v>633</v>
      </c>
      <c r="C452" s="46">
        <v>0.62206878662582232</v>
      </c>
      <c r="D452" s="22">
        <v>113.43354481191645</v>
      </c>
      <c r="E452" s="34">
        <v>113.43354481191599</v>
      </c>
      <c r="F452" s="34">
        <v>113.43354481191599</v>
      </c>
      <c r="G452" s="34">
        <v>113.43354481191599</v>
      </c>
      <c r="H452" s="35">
        <v>113.43354481191599</v>
      </c>
      <c r="I452" s="35">
        <v>128.520206271901</v>
      </c>
      <c r="J452" s="34">
        <v>128.520206271901</v>
      </c>
      <c r="K452" s="34">
        <v>128.520206271901</v>
      </c>
      <c r="L452" s="34">
        <v>128.520206271901</v>
      </c>
      <c r="M452" s="68">
        <v>128.520206271901</v>
      </c>
      <c r="N452" s="21"/>
      <c r="O452" s="21"/>
      <c r="P452" s="21"/>
      <c r="Q452" s="52" t="str">
        <f t="shared" si="6"/>
        <v/>
      </c>
    </row>
    <row r="453" spans="1:17" x14ac:dyDescent="0.3">
      <c r="A453" s="40" t="s">
        <v>306</v>
      </c>
      <c r="B453" s="57" t="s">
        <v>634</v>
      </c>
      <c r="C453" s="46">
        <v>0.45431315573298819</v>
      </c>
      <c r="D453" s="22">
        <v>100</v>
      </c>
      <c r="E453" s="34">
        <v>99.999999999999901</v>
      </c>
      <c r="F453" s="34">
        <v>99.999999999999901</v>
      </c>
      <c r="G453" s="34">
        <v>99.999999999999901</v>
      </c>
      <c r="H453" s="35">
        <v>99.999999999999901</v>
      </c>
      <c r="I453" s="35">
        <v>99.999999999999901</v>
      </c>
      <c r="J453" s="34">
        <v>109.70751216295299</v>
      </c>
      <c r="K453" s="34">
        <v>114.5003604324</v>
      </c>
      <c r="L453" s="34">
        <v>114.5003604324</v>
      </c>
      <c r="M453" s="68">
        <v>111.657463737047</v>
      </c>
      <c r="N453" s="21"/>
      <c r="O453" s="21"/>
      <c r="P453" s="21"/>
      <c r="Q453" s="52" t="str">
        <f t="shared" si="6"/>
        <v/>
      </c>
    </row>
    <row r="454" spans="1:17" x14ac:dyDescent="0.3">
      <c r="A454" s="41" t="s">
        <v>307</v>
      </c>
      <c r="B454" s="57" t="s">
        <v>635</v>
      </c>
      <c r="C454" s="46">
        <v>0.60997456183730547</v>
      </c>
      <c r="D454" s="22">
        <v>107.18277136667314</v>
      </c>
      <c r="E454" s="34">
        <v>107.664337194307</v>
      </c>
      <c r="F454" s="34">
        <v>107.664337194307</v>
      </c>
      <c r="G454" s="34">
        <v>109.027716522223</v>
      </c>
      <c r="H454" s="35">
        <v>109.617588390126</v>
      </c>
      <c r="I454" s="35">
        <v>110.02659827451799</v>
      </c>
      <c r="J454" s="34">
        <v>110.02659827451799</v>
      </c>
      <c r="K454" s="34">
        <v>110.633802599514</v>
      </c>
      <c r="L454" s="34">
        <v>110.633802599514</v>
      </c>
      <c r="M454" s="68">
        <v>112.06080705898199</v>
      </c>
      <c r="N454" s="21"/>
      <c r="O454" s="21"/>
      <c r="P454" s="21"/>
      <c r="Q454" s="52" t="str">
        <f t="shared" si="6"/>
        <v/>
      </c>
    </row>
    <row r="455" spans="1:17" x14ac:dyDescent="0.3">
      <c r="A455" s="42"/>
      <c r="B455" s="59"/>
      <c r="C455" s="46" t="s">
        <v>716</v>
      </c>
      <c r="D455" s="22" t="s">
        <v>716</v>
      </c>
      <c r="E455" s="34"/>
      <c r="F455" s="34"/>
      <c r="G455" s="34"/>
      <c r="H455" s="35"/>
      <c r="I455" s="35"/>
      <c r="J455" s="34"/>
      <c r="K455" s="34"/>
      <c r="L455" s="34"/>
      <c r="M455" s="68"/>
      <c r="N455" s="21"/>
      <c r="O455" s="21"/>
      <c r="P455" s="21"/>
      <c r="Q455" s="52" t="str">
        <f t="shared" si="6"/>
        <v/>
      </c>
    </row>
    <row r="456" spans="1:17" x14ac:dyDescent="0.3">
      <c r="A456" s="42" t="s">
        <v>308</v>
      </c>
      <c r="B456" s="59" t="s">
        <v>636</v>
      </c>
      <c r="C456" s="46">
        <v>0.34223220437507407</v>
      </c>
      <c r="D456" s="22">
        <v>132.6665162968203</v>
      </c>
      <c r="E456" s="34">
        <v>132.666516296819</v>
      </c>
      <c r="F456" s="34">
        <v>133.91483926879599</v>
      </c>
      <c r="G456" s="34">
        <v>133.91483926879599</v>
      </c>
      <c r="H456" s="35">
        <v>133.91483926879599</v>
      </c>
      <c r="I456" s="35">
        <v>133.91483926879599</v>
      </c>
      <c r="J456" s="34">
        <v>133.91483926879599</v>
      </c>
      <c r="K456" s="34">
        <v>136.10376479696799</v>
      </c>
      <c r="L456" s="34">
        <v>136.10376479696799</v>
      </c>
      <c r="M456" s="68">
        <v>136.10376479696799</v>
      </c>
      <c r="N456" s="21"/>
      <c r="O456" s="21"/>
      <c r="P456" s="21"/>
      <c r="Q456" s="52" t="str">
        <f t="shared" ref="Q456:Q519" si="7">IF(P456="","",AVERAGE(E456:P456))</f>
        <v/>
      </c>
    </row>
    <row r="457" spans="1:17" x14ac:dyDescent="0.3">
      <c r="A457" s="41" t="s">
        <v>309</v>
      </c>
      <c r="B457" s="57" t="s">
        <v>637</v>
      </c>
      <c r="C457" s="46">
        <v>1.1030693806049772</v>
      </c>
      <c r="D457" s="22">
        <v>106.57872179488406</v>
      </c>
      <c r="E457" s="34">
        <v>106.578721794884</v>
      </c>
      <c r="F457" s="34">
        <v>106.578721794884</v>
      </c>
      <c r="G457" s="34">
        <v>106.578721794884</v>
      </c>
      <c r="H457" s="35">
        <v>106.55889263698801</v>
      </c>
      <c r="I457" s="35">
        <v>106.55889263698801</v>
      </c>
      <c r="J457" s="34">
        <v>106.57804817538199</v>
      </c>
      <c r="K457" s="34">
        <v>106.86047619593</v>
      </c>
      <c r="L457" s="34">
        <v>106.106842152402</v>
      </c>
      <c r="M457" s="68">
        <v>107.990698433524</v>
      </c>
      <c r="N457" s="21"/>
      <c r="O457" s="21"/>
      <c r="P457" s="21"/>
      <c r="Q457" s="52" t="str">
        <f t="shared" si="7"/>
        <v/>
      </c>
    </row>
    <row r="458" spans="1:17" x14ac:dyDescent="0.3">
      <c r="A458" s="40" t="s">
        <v>310</v>
      </c>
      <c r="B458" s="57" t="s">
        <v>638</v>
      </c>
      <c r="C458" s="46">
        <v>1.1649714354580067</v>
      </c>
      <c r="D458" s="22">
        <v>111.51210996433778</v>
      </c>
      <c r="E458" s="34">
        <v>110.715322830467</v>
      </c>
      <c r="F458" s="34">
        <v>110.715322830467</v>
      </c>
      <c r="G458" s="34">
        <v>110.715322830467</v>
      </c>
      <c r="H458" s="35">
        <v>110.715322830467</v>
      </c>
      <c r="I458" s="35">
        <v>110.715322830467</v>
      </c>
      <c r="J458" s="34">
        <v>110.715322830467</v>
      </c>
      <c r="K458" s="34">
        <v>110.715322830467</v>
      </c>
      <c r="L458" s="34">
        <v>105.83810011176401</v>
      </c>
      <c r="M458" s="68">
        <v>114.31147077157</v>
      </c>
      <c r="N458" s="21"/>
      <c r="O458" s="21"/>
      <c r="P458" s="21"/>
      <c r="Q458" s="52" t="str">
        <f t="shared" si="7"/>
        <v/>
      </c>
    </row>
    <row r="459" spans="1:17" x14ac:dyDescent="0.3">
      <c r="A459" s="41"/>
      <c r="B459" s="57"/>
      <c r="C459" s="46" t="s">
        <v>716</v>
      </c>
      <c r="D459" s="22" t="s">
        <v>716</v>
      </c>
      <c r="E459" s="34"/>
      <c r="F459" s="34"/>
      <c r="G459" s="34"/>
      <c r="H459" s="35"/>
      <c r="I459" s="35"/>
      <c r="J459" s="34"/>
      <c r="K459" s="34"/>
      <c r="L459" s="34"/>
      <c r="M459" s="68"/>
      <c r="N459" s="21"/>
      <c r="O459" s="21"/>
      <c r="P459" s="21"/>
      <c r="Q459" s="52" t="str">
        <f t="shared" si="7"/>
        <v/>
      </c>
    </row>
    <row r="460" spans="1:17" x14ac:dyDescent="0.3">
      <c r="A460" s="40" t="s">
        <v>311</v>
      </c>
      <c r="B460" s="57" t="s">
        <v>639</v>
      </c>
      <c r="C460" s="46">
        <v>2.6102730204380578</v>
      </c>
      <c r="D460" s="22">
        <v>110.73053168980726</v>
      </c>
      <c r="E460" s="34">
        <v>110.377416006456</v>
      </c>
      <c r="F460" s="34">
        <v>110.51402143649899</v>
      </c>
      <c r="G460" s="34">
        <v>110.51402143649899</v>
      </c>
      <c r="H460" s="35">
        <v>110.50531544891</v>
      </c>
      <c r="I460" s="35">
        <v>110.50531544891</v>
      </c>
      <c r="J460" s="34">
        <v>110.513725683999</v>
      </c>
      <c r="K460" s="34">
        <v>110.877262305049</v>
      </c>
      <c r="L460" s="34">
        <v>108.38491904222199</v>
      </c>
      <c r="M460" s="68">
        <v>112.967206951511</v>
      </c>
      <c r="N460" s="21"/>
      <c r="O460" s="21"/>
      <c r="P460" s="21"/>
      <c r="Q460" s="52" t="str">
        <f t="shared" si="7"/>
        <v/>
      </c>
    </row>
    <row r="461" spans="1:17" x14ac:dyDescent="0.3">
      <c r="A461" s="41"/>
      <c r="B461" s="57"/>
      <c r="C461" s="46" t="s">
        <v>716</v>
      </c>
      <c r="D461" s="22" t="s">
        <v>716</v>
      </c>
      <c r="E461" s="34"/>
      <c r="F461" s="34"/>
      <c r="G461" s="34"/>
      <c r="H461" s="35"/>
      <c r="I461" s="35"/>
      <c r="J461" s="34"/>
      <c r="K461" s="34"/>
      <c r="L461" s="34"/>
      <c r="M461" s="68"/>
      <c r="N461" s="21"/>
      <c r="O461" s="21"/>
      <c r="P461" s="21"/>
      <c r="Q461" s="52" t="str">
        <f t="shared" si="7"/>
        <v/>
      </c>
    </row>
    <row r="462" spans="1:17" x14ac:dyDescent="0.3">
      <c r="A462" s="40" t="s">
        <v>312</v>
      </c>
      <c r="B462" s="57" t="s">
        <v>640</v>
      </c>
      <c r="C462" s="46">
        <v>3.8162305081571004</v>
      </c>
      <c r="D462" s="22">
        <v>100</v>
      </c>
      <c r="E462" s="34">
        <v>100.09</v>
      </c>
      <c r="F462" s="34">
        <v>97.22</v>
      </c>
      <c r="G462" s="34">
        <v>96.295500000000004</v>
      </c>
      <c r="H462" s="35">
        <v>99.853700000000003</v>
      </c>
      <c r="I462" s="35">
        <v>102.3215</v>
      </c>
      <c r="J462" s="34">
        <v>105.7979</v>
      </c>
      <c r="K462" s="34">
        <v>98.612899999999996</v>
      </c>
      <c r="L462" s="34">
        <v>100.3394</v>
      </c>
      <c r="M462" s="68">
        <v>98.151499999999999</v>
      </c>
      <c r="N462" s="21"/>
      <c r="O462" s="21"/>
      <c r="P462" s="21"/>
      <c r="Q462" s="52" t="str">
        <f t="shared" si="7"/>
        <v/>
      </c>
    </row>
    <row r="463" spans="1:17" x14ac:dyDescent="0.3">
      <c r="A463" s="41"/>
      <c r="B463" s="57"/>
      <c r="C463" s="46" t="s">
        <v>716</v>
      </c>
      <c r="D463" s="22" t="s">
        <v>716</v>
      </c>
      <c r="E463" s="34"/>
      <c r="F463" s="34"/>
      <c r="G463" s="34"/>
      <c r="H463" s="35"/>
      <c r="I463" s="35"/>
      <c r="J463" s="34"/>
      <c r="K463" s="34"/>
      <c r="L463" s="34"/>
      <c r="M463" s="68"/>
      <c r="N463" s="21"/>
      <c r="O463" s="21"/>
      <c r="P463" s="21"/>
      <c r="Q463" s="52" t="str">
        <f t="shared" si="7"/>
        <v/>
      </c>
    </row>
    <row r="464" spans="1:17" x14ac:dyDescent="0.3">
      <c r="A464" s="40" t="s">
        <v>146</v>
      </c>
      <c r="B464" s="57" t="s">
        <v>641</v>
      </c>
      <c r="C464" s="46">
        <v>8.112860032791275</v>
      </c>
      <c r="D464" s="22">
        <v>111.34150043361561</v>
      </c>
      <c r="E464" s="34">
        <v>111.31200904524999</v>
      </c>
      <c r="F464" s="34">
        <v>109.85306316563801</v>
      </c>
      <c r="G464" s="34">
        <v>109.475347904624</v>
      </c>
      <c r="H464" s="35">
        <v>111.38218232542999</v>
      </c>
      <c r="I464" s="35">
        <v>113.842082123285</v>
      </c>
      <c r="J464" s="34">
        <v>116.270806969834</v>
      </c>
      <c r="K464" s="34">
        <v>112.971589886923</v>
      </c>
      <c r="L464" s="34">
        <v>113.069507215454</v>
      </c>
      <c r="M464" s="68">
        <v>113.340273313542</v>
      </c>
      <c r="N464" s="21"/>
      <c r="O464" s="21"/>
      <c r="P464" s="21"/>
      <c r="Q464" s="52" t="str">
        <f t="shared" si="7"/>
        <v/>
      </c>
    </row>
    <row r="465" spans="1:17" x14ac:dyDescent="0.3">
      <c r="A465" s="40"/>
      <c r="B465" s="57"/>
      <c r="C465" s="46" t="s">
        <v>716</v>
      </c>
      <c r="D465" s="22" t="s">
        <v>716</v>
      </c>
      <c r="E465" s="34"/>
      <c r="F465" s="34"/>
      <c r="G465" s="34"/>
      <c r="H465" s="35"/>
      <c r="I465" s="35"/>
      <c r="J465" s="34"/>
      <c r="K465" s="34"/>
      <c r="L465" s="34"/>
      <c r="M465" s="68"/>
      <c r="N465" s="21"/>
      <c r="O465" s="21"/>
      <c r="P465" s="21"/>
      <c r="Q465" s="52" t="str">
        <f t="shared" si="7"/>
        <v/>
      </c>
    </row>
    <row r="466" spans="1:17" x14ac:dyDescent="0.3">
      <c r="A466" s="41" t="s">
        <v>147</v>
      </c>
      <c r="B466" s="57" t="s">
        <v>642</v>
      </c>
      <c r="C466" s="46">
        <v>0.92191952358865648</v>
      </c>
      <c r="D466" s="22">
        <v>99.051253940904246</v>
      </c>
      <c r="E466" s="34">
        <v>98.628990268708904</v>
      </c>
      <c r="F466" s="34">
        <v>98.617219060428695</v>
      </c>
      <c r="G466" s="34">
        <v>98.631350212456994</v>
      </c>
      <c r="H466" s="35">
        <v>98.727503519278002</v>
      </c>
      <c r="I466" s="35">
        <v>98.672999102804795</v>
      </c>
      <c r="J466" s="34">
        <v>98.642060035263</v>
      </c>
      <c r="K466" s="34">
        <v>99.328330643629599</v>
      </c>
      <c r="L466" s="34">
        <v>99.931127904344194</v>
      </c>
      <c r="M466" s="68">
        <v>100.363275611417</v>
      </c>
      <c r="N466" s="21"/>
      <c r="O466" s="21"/>
      <c r="P466" s="21"/>
      <c r="Q466" s="52" t="str">
        <f t="shared" si="7"/>
        <v/>
      </c>
    </row>
    <row r="467" spans="1:17" x14ac:dyDescent="0.3">
      <c r="A467" s="40"/>
      <c r="B467" s="57"/>
      <c r="C467" s="46" t="s">
        <v>716</v>
      </c>
      <c r="D467" s="22" t="s">
        <v>716</v>
      </c>
      <c r="E467" s="34"/>
      <c r="F467" s="34"/>
      <c r="G467" s="34"/>
      <c r="H467" s="35"/>
      <c r="I467" s="35"/>
      <c r="J467" s="34"/>
      <c r="K467" s="34"/>
      <c r="L467" s="34"/>
      <c r="M467" s="68"/>
      <c r="N467" s="21"/>
      <c r="O467" s="21"/>
      <c r="P467" s="21"/>
      <c r="Q467" s="52" t="str">
        <f t="shared" si="7"/>
        <v/>
      </c>
    </row>
    <row r="468" spans="1:17" x14ac:dyDescent="0.3">
      <c r="A468" s="41" t="s">
        <v>148</v>
      </c>
      <c r="B468" s="57" t="s">
        <v>643</v>
      </c>
      <c r="C468" s="46">
        <v>0.92191952358865648</v>
      </c>
      <c r="D468" s="22">
        <v>96.43130903757617</v>
      </c>
      <c r="E468" s="34">
        <v>96.020214406779303</v>
      </c>
      <c r="F468" s="34">
        <v>96.008754551620996</v>
      </c>
      <c r="G468" s="34">
        <v>96.022511929080494</v>
      </c>
      <c r="H468" s="35">
        <v>96.1161219428474</v>
      </c>
      <c r="I468" s="35">
        <v>96.063059189780404</v>
      </c>
      <c r="J468" s="34">
        <v>96.032938472830807</v>
      </c>
      <c r="K468" s="34">
        <v>96.701056951757806</v>
      </c>
      <c r="L468" s="34">
        <v>97.287909986143902</v>
      </c>
      <c r="M468" s="68">
        <v>97.708627215180798</v>
      </c>
      <c r="N468" s="21"/>
      <c r="O468" s="21"/>
      <c r="P468" s="21"/>
      <c r="Q468" s="52" t="str">
        <f t="shared" si="7"/>
        <v/>
      </c>
    </row>
    <row r="469" spans="1:17" x14ac:dyDescent="0.3">
      <c r="A469" s="40"/>
      <c r="B469" s="57"/>
      <c r="C469" s="46" t="s">
        <v>716</v>
      </c>
      <c r="D469" s="22" t="s">
        <v>716</v>
      </c>
      <c r="E469" s="34"/>
      <c r="F469" s="34"/>
      <c r="G469" s="34"/>
      <c r="H469" s="35"/>
      <c r="I469" s="35"/>
      <c r="J469" s="34"/>
      <c r="K469" s="34"/>
      <c r="L469" s="34"/>
      <c r="M469" s="68"/>
      <c r="N469" s="21"/>
      <c r="O469" s="21"/>
      <c r="P469" s="21"/>
      <c r="Q469" s="52" t="str">
        <f t="shared" si="7"/>
        <v/>
      </c>
    </row>
    <row r="470" spans="1:17" x14ac:dyDescent="0.3">
      <c r="A470" s="40" t="s">
        <v>313</v>
      </c>
      <c r="B470" s="57" t="s">
        <v>644</v>
      </c>
      <c r="C470" s="46">
        <v>2.6633635165679435</v>
      </c>
      <c r="D470" s="22">
        <v>132.45129702961259</v>
      </c>
      <c r="E470" s="34">
        <v>132.45129702961299</v>
      </c>
      <c r="F470" s="34">
        <v>132.45129702961299</v>
      </c>
      <c r="G470" s="34">
        <v>132.45129702961299</v>
      </c>
      <c r="H470" s="35">
        <v>132.45129702961299</v>
      </c>
      <c r="I470" s="35">
        <v>132.45129702961299</v>
      </c>
      <c r="J470" s="34">
        <v>135.906047147029</v>
      </c>
      <c r="K470" s="34">
        <v>137.35350535400599</v>
      </c>
      <c r="L470" s="34">
        <v>137.35350535400599</v>
      </c>
      <c r="M470" s="68">
        <v>137.40516200098099</v>
      </c>
      <c r="N470" s="21"/>
      <c r="O470" s="21"/>
      <c r="P470" s="21"/>
      <c r="Q470" s="52" t="str">
        <f t="shared" si="7"/>
        <v/>
      </c>
    </row>
    <row r="471" spans="1:17" x14ac:dyDescent="0.3">
      <c r="A471" s="40" t="s">
        <v>314</v>
      </c>
      <c r="B471" s="57" t="s">
        <v>645</v>
      </c>
      <c r="C471" s="46">
        <v>3.8727050937983051E-2</v>
      </c>
      <c r="D471" s="22">
        <v>70.944679063113313</v>
      </c>
      <c r="E471" s="34">
        <v>70.944679063113298</v>
      </c>
      <c r="F471" s="34">
        <v>70.944679063113298</v>
      </c>
      <c r="G471" s="34">
        <v>70.944679063113298</v>
      </c>
      <c r="H471" s="35">
        <v>197.65248242958799</v>
      </c>
      <c r="I471" s="35">
        <v>197.65248242958799</v>
      </c>
      <c r="J471" s="34">
        <v>197.65248242958799</v>
      </c>
      <c r="K471" s="34">
        <v>197.65248242958799</v>
      </c>
      <c r="L471" s="34">
        <v>197.65248242958799</v>
      </c>
      <c r="M471" s="68">
        <v>197.65248242958799</v>
      </c>
      <c r="N471" s="21"/>
      <c r="O471" s="21"/>
      <c r="P471" s="21"/>
      <c r="Q471" s="52" t="str">
        <f t="shared" si="7"/>
        <v/>
      </c>
    </row>
    <row r="472" spans="1:17" x14ac:dyDescent="0.3">
      <c r="A472" s="40" t="s">
        <v>315</v>
      </c>
      <c r="B472" s="57" t="s">
        <v>646</v>
      </c>
      <c r="C472" s="46">
        <v>0.27915752465870058</v>
      </c>
      <c r="D472" s="22">
        <v>115.97361807764555</v>
      </c>
      <c r="E472" s="34">
        <v>116.049232833498</v>
      </c>
      <c r="F472" s="34">
        <v>116.049232833498</v>
      </c>
      <c r="G472" s="34">
        <v>117.453127276023</v>
      </c>
      <c r="H472" s="35">
        <v>117.791538823306</v>
      </c>
      <c r="I472" s="35">
        <v>118.043119548048</v>
      </c>
      <c r="J472" s="34">
        <v>118.043119548048</v>
      </c>
      <c r="K472" s="34">
        <v>118.043119548048</v>
      </c>
      <c r="L472" s="34">
        <v>118.043119548048</v>
      </c>
      <c r="M472" s="68">
        <v>118.328266225866</v>
      </c>
      <c r="N472" s="21"/>
      <c r="O472" s="21"/>
      <c r="P472" s="21"/>
      <c r="Q472" s="52" t="str">
        <f t="shared" si="7"/>
        <v/>
      </c>
    </row>
    <row r="473" spans="1:17" x14ac:dyDescent="0.3">
      <c r="A473" s="40"/>
      <c r="B473" s="57"/>
      <c r="C473" s="46" t="s">
        <v>716</v>
      </c>
      <c r="D473" s="22" t="s">
        <v>716</v>
      </c>
      <c r="E473" s="34"/>
      <c r="F473" s="34"/>
      <c r="G473" s="34"/>
      <c r="H473" s="35"/>
      <c r="I473" s="35"/>
      <c r="J473" s="34"/>
      <c r="K473" s="34"/>
      <c r="L473" s="34"/>
      <c r="M473" s="68"/>
      <c r="N473" s="21"/>
      <c r="O473" s="21"/>
      <c r="P473" s="21"/>
      <c r="Q473" s="52" t="str">
        <f t="shared" si="7"/>
        <v/>
      </c>
    </row>
    <row r="474" spans="1:17" x14ac:dyDescent="0.3">
      <c r="A474" s="41" t="s">
        <v>149</v>
      </c>
      <c r="B474" s="57" t="s">
        <v>647</v>
      </c>
      <c r="C474" s="46">
        <v>2.9812480921646269</v>
      </c>
      <c r="D474" s="22">
        <v>128.49563701703789</v>
      </c>
      <c r="E474" s="34">
        <v>128.503481908693</v>
      </c>
      <c r="F474" s="34">
        <v>128.503481908693</v>
      </c>
      <c r="G474" s="34">
        <v>128.64913337146101</v>
      </c>
      <c r="H474" s="35">
        <v>131.66542311506899</v>
      </c>
      <c r="I474" s="35">
        <v>131.69152415190899</v>
      </c>
      <c r="J474" s="34">
        <v>134.68572641608199</v>
      </c>
      <c r="K474" s="34">
        <v>135.94022601614799</v>
      </c>
      <c r="L474" s="34">
        <v>135.94022601614799</v>
      </c>
      <c r="M474" s="68">
        <v>136.01457983120599</v>
      </c>
      <c r="N474" s="21"/>
      <c r="O474" s="21"/>
      <c r="P474" s="21"/>
      <c r="Q474" s="52" t="str">
        <f t="shared" si="7"/>
        <v/>
      </c>
    </row>
    <row r="475" spans="1:17" x14ac:dyDescent="0.3">
      <c r="A475" s="40"/>
      <c r="B475" s="57"/>
      <c r="C475" s="46" t="s">
        <v>716</v>
      </c>
      <c r="D475" s="22" t="s">
        <v>716</v>
      </c>
      <c r="E475" s="34"/>
      <c r="F475" s="34"/>
      <c r="G475" s="34"/>
      <c r="H475" s="35"/>
      <c r="I475" s="35"/>
      <c r="J475" s="34"/>
      <c r="K475" s="34"/>
      <c r="L475" s="34"/>
      <c r="M475" s="68"/>
      <c r="N475" s="21"/>
      <c r="O475" s="21"/>
      <c r="P475" s="21"/>
      <c r="Q475" s="52" t="str">
        <f t="shared" si="7"/>
        <v/>
      </c>
    </row>
    <row r="476" spans="1:17" x14ac:dyDescent="0.3">
      <c r="A476" s="41" t="s">
        <v>316</v>
      </c>
      <c r="B476" s="57" t="s">
        <v>648</v>
      </c>
      <c r="C476" s="46">
        <v>0.77687053543939821</v>
      </c>
      <c r="D476" s="22">
        <v>104.77857585394861</v>
      </c>
      <c r="E476" s="34">
        <v>105.273231168398</v>
      </c>
      <c r="F476" s="34">
        <v>107.030698196401</v>
      </c>
      <c r="G476" s="34">
        <v>107.463930022539</v>
      </c>
      <c r="H476" s="35">
        <v>108.13720731331701</v>
      </c>
      <c r="I476" s="35">
        <v>108.13344214143601</v>
      </c>
      <c r="J476" s="34">
        <v>108.137264240942</v>
      </c>
      <c r="K476" s="34">
        <v>108.59638182315901</v>
      </c>
      <c r="L476" s="34">
        <v>107.205783177416</v>
      </c>
      <c r="M476" s="68">
        <v>108.657650934819</v>
      </c>
      <c r="N476" s="21"/>
      <c r="O476" s="21"/>
      <c r="P476" s="21"/>
      <c r="Q476" s="52" t="str">
        <f t="shared" si="7"/>
        <v/>
      </c>
    </row>
    <row r="477" spans="1:17" x14ac:dyDescent="0.3">
      <c r="A477" s="40" t="s">
        <v>317</v>
      </c>
      <c r="B477" s="57" t="s">
        <v>649</v>
      </c>
      <c r="C477" s="46">
        <v>1.2369069849479082</v>
      </c>
      <c r="D477" s="22">
        <v>99.110245028934756</v>
      </c>
      <c r="E477" s="34">
        <v>99.121200373942898</v>
      </c>
      <c r="F477" s="34">
        <v>99.121200373942898</v>
      </c>
      <c r="G477" s="34">
        <v>99.497175987525495</v>
      </c>
      <c r="H477" s="35">
        <v>99.551385743265698</v>
      </c>
      <c r="I477" s="35">
        <v>99.344895080152298</v>
      </c>
      <c r="J477" s="34">
        <v>99.277729518526499</v>
      </c>
      <c r="K477" s="34">
        <v>98.927701832585498</v>
      </c>
      <c r="L477" s="34">
        <v>99.0509276463454</v>
      </c>
      <c r="M477" s="68">
        <v>99.800653075823504</v>
      </c>
      <c r="N477" s="21"/>
      <c r="O477" s="21"/>
      <c r="P477" s="21"/>
      <c r="Q477" s="52" t="str">
        <f t="shared" si="7"/>
        <v/>
      </c>
    </row>
    <row r="478" spans="1:17" x14ac:dyDescent="0.3">
      <c r="A478" s="41"/>
      <c r="B478" s="57"/>
      <c r="C478" s="46" t="s">
        <v>716</v>
      </c>
      <c r="D478" s="22" t="s">
        <v>716</v>
      </c>
      <c r="E478" s="34"/>
      <c r="F478" s="34"/>
      <c r="G478" s="34"/>
      <c r="H478" s="35"/>
      <c r="I478" s="35"/>
      <c r="J478" s="34"/>
      <c r="K478" s="34"/>
      <c r="L478" s="34"/>
      <c r="M478" s="68"/>
      <c r="N478" s="21"/>
      <c r="O478" s="21"/>
      <c r="P478" s="21"/>
      <c r="Q478" s="52" t="str">
        <f t="shared" si="7"/>
        <v/>
      </c>
    </row>
    <row r="479" spans="1:17" x14ac:dyDescent="0.3">
      <c r="A479" s="40" t="s">
        <v>318</v>
      </c>
      <c r="B479" s="57" t="s">
        <v>650</v>
      </c>
      <c r="C479" s="46">
        <v>2.0137775203873063</v>
      </c>
      <c r="D479" s="22">
        <v>100.75827890389979</v>
      </c>
      <c r="E479" s="34">
        <v>100.948624892263</v>
      </c>
      <c r="F479" s="34">
        <v>101.600602374996</v>
      </c>
      <c r="G479" s="34">
        <v>101.9960934418</v>
      </c>
      <c r="H479" s="35">
        <v>102.27971343439</v>
      </c>
      <c r="I479" s="35">
        <v>102.149376499659</v>
      </c>
      <c r="J479" s="34">
        <v>102.108853829133</v>
      </c>
      <c r="K479" s="34">
        <v>102.060605482125</v>
      </c>
      <c r="L479" s="34">
        <v>101.62167383875401</v>
      </c>
      <c r="M479" s="68">
        <v>102.628436776393</v>
      </c>
      <c r="N479" s="21"/>
      <c r="O479" s="21"/>
      <c r="P479" s="21"/>
      <c r="Q479" s="52" t="str">
        <f t="shared" si="7"/>
        <v/>
      </c>
    </row>
    <row r="480" spans="1:17" x14ac:dyDescent="0.3">
      <c r="A480" s="40"/>
      <c r="B480" s="57"/>
      <c r="C480" s="46" t="s">
        <v>716</v>
      </c>
      <c r="D480" s="22" t="s">
        <v>716</v>
      </c>
      <c r="E480" s="34"/>
      <c r="F480" s="34"/>
      <c r="G480" s="34"/>
      <c r="H480" s="35"/>
      <c r="I480" s="35"/>
      <c r="J480" s="34"/>
      <c r="K480" s="34"/>
      <c r="L480" s="34"/>
      <c r="M480" s="68"/>
      <c r="N480" s="21"/>
      <c r="O480" s="21"/>
      <c r="P480" s="21"/>
      <c r="Q480" s="52" t="str">
        <f t="shared" si="7"/>
        <v/>
      </c>
    </row>
    <row r="481" spans="1:17" x14ac:dyDescent="0.3">
      <c r="A481" s="40" t="s">
        <v>319</v>
      </c>
      <c r="B481" s="57" t="s">
        <v>651</v>
      </c>
      <c r="C481" s="46">
        <v>0.68241746173563633</v>
      </c>
      <c r="D481" s="22">
        <v>107.74861199020056</v>
      </c>
      <c r="E481" s="34">
        <v>107.748611990201</v>
      </c>
      <c r="F481" s="34">
        <v>107.748611990201</v>
      </c>
      <c r="G481" s="34">
        <v>107.748611990201</v>
      </c>
      <c r="H481" s="35">
        <v>107.748611990201</v>
      </c>
      <c r="I481" s="35">
        <v>107.748611990201</v>
      </c>
      <c r="J481" s="34">
        <v>107.748611990201</v>
      </c>
      <c r="K481" s="34">
        <v>107.748611990201</v>
      </c>
      <c r="L481" s="34">
        <v>107.748611990201</v>
      </c>
      <c r="M481" s="68">
        <v>107.748611990201</v>
      </c>
      <c r="N481" s="21"/>
      <c r="O481" s="21"/>
      <c r="P481" s="21"/>
      <c r="Q481" s="52" t="str">
        <f t="shared" si="7"/>
        <v/>
      </c>
    </row>
    <row r="482" spans="1:17" x14ac:dyDescent="0.3">
      <c r="A482" s="41" t="s">
        <v>320</v>
      </c>
      <c r="B482" s="57" t="s">
        <v>652</v>
      </c>
      <c r="C482" s="46">
        <v>0.40580743494465998</v>
      </c>
      <c r="D482" s="22">
        <v>103.56322900000001</v>
      </c>
      <c r="E482" s="34">
        <v>103.56322900000001</v>
      </c>
      <c r="F482" s="34">
        <v>103.56322900000001</v>
      </c>
      <c r="G482" s="34">
        <v>104.10797158454</v>
      </c>
      <c r="H482" s="35">
        <v>104.10797158454</v>
      </c>
      <c r="I482" s="35">
        <v>104.10797158454</v>
      </c>
      <c r="J482" s="34">
        <v>104.10797158454</v>
      </c>
      <c r="K482" s="34">
        <v>106.304649784974</v>
      </c>
      <c r="L482" s="34">
        <v>106.304649784974</v>
      </c>
      <c r="M482" s="68">
        <v>106.304649784974</v>
      </c>
      <c r="N482" s="21"/>
      <c r="O482" s="21"/>
      <c r="P482" s="21"/>
      <c r="Q482" s="52" t="str">
        <f t="shared" si="7"/>
        <v/>
      </c>
    </row>
    <row r="483" spans="1:17" x14ac:dyDescent="0.3">
      <c r="A483" s="40"/>
      <c r="B483" s="57"/>
      <c r="C483" s="46" t="s">
        <v>716</v>
      </c>
      <c r="D483" s="22" t="s">
        <v>716</v>
      </c>
      <c r="E483" s="34"/>
      <c r="F483" s="34"/>
      <c r="G483" s="34"/>
      <c r="H483" s="35"/>
      <c r="I483" s="35"/>
      <c r="J483" s="34"/>
      <c r="K483" s="34"/>
      <c r="L483" s="34"/>
      <c r="M483" s="68"/>
      <c r="N483" s="21"/>
      <c r="O483" s="21"/>
      <c r="P483" s="21"/>
      <c r="Q483" s="52" t="str">
        <f t="shared" si="7"/>
        <v/>
      </c>
    </row>
    <row r="484" spans="1:17" x14ac:dyDescent="0.3">
      <c r="A484" s="41" t="s">
        <v>321</v>
      </c>
      <c r="B484" s="57" t="s">
        <v>653</v>
      </c>
      <c r="C484" s="46">
        <v>1.0882248966802963</v>
      </c>
      <c r="D484" s="22">
        <v>106.51571453017408</v>
      </c>
      <c r="E484" s="34">
        <v>106.51571453017399</v>
      </c>
      <c r="F484" s="34">
        <v>106.51571453017399</v>
      </c>
      <c r="G484" s="34">
        <v>106.724644514297</v>
      </c>
      <c r="H484" s="35">
        <v>106.724644514297</v>
      </c>
      <c r="I484" s="35">
        <v>106.724644514297</v>
      </c>
      <c r="J484" s="34">
        <v>106.724644514297</v>
      </c>
      <c r="K484" s="34">
        <v>107.567156105216</v>
      </c>
      <c r="L484" s="34">
        <v>107.567156105216</v>
      </c>
      <c r="M484" s="68">
        <v>107.567156105216</v>
      </c>
      <c r="N484" s="21"/>
      <c r="O484" s="21"/>
      <c r="P484" s="21"/>
      <c r="Q484" s="52" t="str">
        <f t="shared" si="7"/>
        <v/>
      </c>
    </row>
    <row r="485" spans="1:17" x14ac:dyDescent="0.3">
      <c r="A485" s="40"/>
      <c r="B485" s="57"/>
      <c r="C485" s="46" t="s">
        <v>716</v>
      </c>
      <c r="D485" s="22" t="s">
        <v>716</v>
      </c>
      <c r="E485" s="34"/>
      <c r="F485" s="34"/>
      <c r="G485" s="34"/>
      <c r="H485" s="35"/>
      <c r="I485" s="35"/>
      <c r="J485" s="34"/>
      <c r="K485" s="34"/>
      <c r="L485" s="34"/>
      <c r="M485" s="68"/>
      <c r="N485" s="21"/>
      <c r="O485" s="21"/>
      <c r="P485" s="21"/>
      <c r="Q485" s="52" t="str">
        <f t="shared" si="7"/>
        <v/>
      </c>
    </row>
    <row r="486" spans="1:17" x14ac:dyDescent="0.3">
      <c r="A486" s="40" t="s">
        <v>322</v>
      </c>
      <c r="B486" s="57" t="s">
        <v>654</v>
      </c>
      <c r="C486" s="46">
        <v>0.23304329752877173</v>
      </c>
      <c r="D486" s="22">
        <v>118.4929018298967</v>
      </c>
      <c r="E486" s="34">
        <v>119.94903118352001</v>
      </c>
      <c r="F486" s="34">
        <v>121.281626646475</v>
      </c>
      <c r="G486" s="34">
        <v>119.539075873679</v>
      </c>
      <c r="H486" s="35">
        <v>119.539075873679</v>
      </c>
      <c r="I486" s="35">
        <v>119.539075873679</v>
      </c>
      <c r="J486" s="34">
        <v>119.539075873679</v>
      </c>
      <c r="K486" s="34">
        <v>121.322695541529</v>
      </c>
      <c r="L486" s="34">
        <v>121.322695541529</v>
      </c>
      <c r="M486" s="68">
        <v>121.78097099099401</v>
      </c>
      <c r="N486" s="21"/>
      <c r="O486" s="21"/>
      <c r="P486" s="21"/>
      <c r="Q486" s="52" t="str">
        <f t="shared" si="7"/>
        <v/>
      </c>
    </row>
    <row r="487" spans="1:17" x14ac:dyDescent="0.3">
      <c r="A487" s="41" t="s">
        <v>323</v>
      </c>
      <c r="B487" s="57" t="s">
        <v>655</v>
      </c>
      <c r="C487" s="46">
        <v>1.9757557211945542</v>
      </c>
      <c r="D487" s="22">
        <v>112.15214233001002</v>
      </c>
      <c r="E487" s="34">
        <v>112.134700516089</v>
      </c>
      <c r="F487" s="34">
        <v>112.083842947699</v>
      </c>
      <c r="G487" s="34">
        <v>112.032580927442</v>
      </c>
      <c r="H487" s="35">
        <v>112.315138996838</v>
      </c>
      <c r="I487" s="35">
        <v>112.526121660123</v>
      </c>
      <c r="J487" s="34">
        <v>112.51598980097</v>
      </c>
      <c r="K487" s="34">
        <v>111.923738281287</v>
      </c>
      <c r="L487" s="34">
        <v>112.075405403554</v>
      </c>
      <c r="M487" s="68">
        <v>113.36730455562601</v>
      </c>
      <c r="N487" s="21"/>
      <c r="O487" s="21"/>
      <c r="P487" s="21"/>
      <c r="Q487" s="52" t="str">
        <f t="shared" si="7"/>
        <v/>
      </c>
    </row>
    <row r="488" spans="1:17" x14ac:dyDescent="0.3">
      <c r="A488" s="40"/>
      <c r="B488" s="57"/>
      <c r="C488" s="46" t="s">
        <v>716</v>
      </c>
      <c r="D488" s="22" t="s">
        <v>716</v>
      </c>
      <c r="E488" s="34"/>
      <c r="F488" s="34"/>
      <c r="G488" s="34"/>
      <c r="H488" s="35"/>
      <c r="I488" s="35"/>
      <c r="J488" s="34"/>
      <c r="K488" s="34"/>
      <c r="L488" s="34"/>
      <c r="M488" s="68"/>
      <c r="N488" s="21"/>
      <c r="O488" s="21"/>
      <c r="P488" s="21"/>
      <c r="Q488" s="52" t="str">
        <f t="shared" si="7"/>
        <v/>
      </c>
    </row>
    <row r="489" spans="1:17" x14ac:dyDescent="0.3">
      <c r="A489" s="41" t="s">
        <v>324</v>
      </c>
      <c r="B489" s="57" t="s">
        <v>656</v>
      </c>
      <c r="C489" s="46">
        <v>5.3108014357909283</v>
      </c>
      <c r="D489" s="22">
        <v>108.46498687969597</v>
      </c>
      <c r="E489" s="34">
        <v>108.594897292056</v>
      </c>
      <c r="F489" s="34">
        <v>108.896255290263</v>
      </c>
      <c r="G489" s="34">
        <v>109.01284729573899</v>
      </c>
      <c r="H489" s="35">
        <v>109.230280571709</v>
      </c>
      <c r="I489" s="35">
        <v>109.25298911354901</v>
      </c>
      <c r="J489" s="34">
        <v>109.232802852266</v>
      </c>
      <c r="K489" s="34">
        <v>109.247459223444</v>
      </c>
      <c r="L489" s="34">
        <v>109.122861665073</v>
      </c>
      <c r="M489" s="68">
        <v>110.017036882962</v>
      </c>
      <c r="N489" s="21"/>
      <c r="O489" s="21"/>
      <c r="P489" s="21"/>
      <c r="Q489" s="52" t="str">
        <f t="shared" si="7"/>
        <v/>
      </c>
    </row>
    <row r="490" spans="1:17" x14ac:dyDescent="0.3">
      <c r="A490" s="40"/>
      <c r="B490" s="57"/>
      <c r="C490" s="46" t="s">
        <v>716</v>
      </c>
      <c r="D490" s="22" t="s">
        <v>716</v>
      </c>
      <c r="E490" s="34"/>
      <c r="F490" s="34"/>
      <c r="G490" s="34"/>
      <c r="H490" s="35"/>
      <c r="I490" s="35"/>
      <c r="J490" s="34"/>
      <c r="K490" s="34"/>
      <c r="L490" s="34"/>
      <c r="M490" s="68"/>
      <c r="N490" s="21"/>
      <c r="O490" s="21"/>
      <c r="P490" s="21"/>
      <c r="Q490" s="52" t="str">
        <f t="shared" si="7"/>
        <v/>
      </c>
    </row>
    <row r="491" spans="1:17" x14ac:dyDescent="0.3">
      <c r="A491" s="41" t="s">
        <v>325</v>
      </c>
      <c r="B491" s="57" t="s">
        <v>657</v>
      </c>
      <c r="C491" s="46">
        <v>3.0597747480637114</v>
      </c>
      <c r="D491" s="22">
        <v>144.9696554413143</v>
      </c>
      <c r="E491" s="34">
        <v>144.96965544131399</v>
      </c>
      <c r="F491" s="34">
        <v>143.22899242303001</v>
      </c>
      <c r="G491" s="34">
        <v>143.828538106509</v>
      </c>
      <c r="H491" s="35">
        <v>148.07072153993801</v>
      </c>
      <c r="I491" s="35">
        <v>146.44139373503899</v>
      </c>
      <c r="J491" s="34">
        <v>146.43401213812899</v>
      </c>
      <c r="K491" s="34">
        <v>149.766283078843</v>
      </c>
      <c r="L491" s="34">
        <v>149.976635854276</v>
      </c>
      <c r="M491" s="68">
        <v>148.78071440999</v>
      </c>
      <c r="N491" s="21"/>
      <c r="O491" s="21"/>
      <c r="P491" s="21"/>
      <c r="Q491" s="52" t="str">
        <f t="shared" si="7"/>
        <v/>
      </c>
    </row>
    <row r="492" spans="1:17" x14ac:dyDescent="0.3">
      <c r="A492" s="40"/>
      <c r="B492" s="57"/>
      <c r="C492" s="46" t="s">
        <v>716</v>
      </c>
      <c r="D492" s="22" t="s">
        <v>716</v>
      </c>
      <c r="E492" s="34"/>
      <c r="F492" s="34"/>
      <c r="G492" s="34"/>
      <c r="H492" s="35"/>
      <c r="I492" s="35"/>
      <c r="J492" s="34"/>
      <c r="K492" s="34"/>
      <c r="L492" s="34"/>
      <c r="M492" s="68"/>
      <c r="N492" s="21"/>
      <c r="O492" s="21"/>
      <c r="P492" s="21"/>
      <c r="Q492" s="52" t="str">
        <f t="shared" si="7"/>
        <v/>
      </c>
    </row>
    <row r="493" spans="1:17" x14ac:dyDescent="0.3">
      <c r="A493" s="40" t="s">
        <v>326</v>
      </c>
      <c r="B493" s="57" t="s">
        <v>658</v>
      </c>
      <c r="C493" s="46">
        <v>3.0597747480637114</v>
      </c>
      <c r="D493" s="22">
        <v>144.9696554413143</v>
      </c>
      <c r="E493" s="34">
        <v>144.96965544131399</v>
      </c>
      <c r="F493" s="34">
        <v>143.22899242303001</v>
      </c>
      <c r="G493" s="34">
        <v>143.828538106509</v>
      </c>
      <c r="H493" s="35">
        <v>148.07072153993801</v>
      </c>
      <c r="I493" s="35">
        <v>146.44139373503899</v>
      </c>
      <c r="J493" s="34">
        <v>146.43401213812899</v>
      </c>
      <c r="K493" s="34">
        <v>149.766283078843</v>
      </c>
      <c r="L493" s="34">
        <v>149.976635854276</v>
      </c>
      <c r="M493" s="68">
        <v>148.78071440999</v>
      </c>
      <c r="N493" s="21"/>
      <c r="O493" s="21"/>
      <c r="P493" s="21"/>
      <c r="Q493" s="52" t="str">
        <f t="shared" si="7"/>
        <v/>
      </c>
    </row>
    <row r="494" spans="1:17" x14ac:dyDescent="0.3">
      <c r="A494" s="41"/>
      <c r="B494" s="57"/>
      <c r="C494" s="46" t="s">
        <v>716</v>
      </c>
      <c r="D494" s="22" t="s">
        <v>716</v>
      </c>
      <c r="E494" s="34"/>
      <c r="F494" s="34"/>
      <c r="G494" s="34"/>
      <c r="H494" s="35"/>
      <c r="I494" s="35"/>
      <c r="J494" s="34"/>
      <c r="K494" s="34"/>
      <c r="L494" s="34"/>
      <c r="M494" s="68"/>
      <c r="N494" s="21"/>
      <c r="O494" s="21"/>
      <c r="P494" s="21"/>
      <c r="Q494" s="52" t="str">
        <f t="shared" si="7"/>
        <v/>
      </c>
    </row>
    <row r="495" spans="1:17" x14ac:dyDescent="0.3">
      <c r="A495" s="40" t="s">
        <v>150</v>
      </c>
      <c r="B495" s="57" t="s">
        <v>659</v>
      </c>
      <c r="C495" s="46">
        <v>39.931319439483772</v>
      </c>
      <c r="D495" s="22">
        <v>112.57409143899545</v>
      </c>
      <c r="E495" s="34">
        <v>112.820802086068</v>
      </c>
      <c r="F495" s="34">
        <v>112.33338357050199</v>
      </c>
      <c r="G495" s="34">
        <v>112.025433926159</v>
      </c>
      <c r="H495" s="35">
        <v>112.93721558288399</v>
      </c>
      <c r="I495" s="35">
        <v>113.383024600697</v>
      </c>
      <c r="J495" s="34">
        <v>114.188272408834</v>
      </c>
      <c r="K495" s="34">
        <v>113.50295496048901</v>
      </c>
      <c r="L495" s="34">
        <v>113.88202112361</v>
      </c>
      <c r="M495" s="68">
        <v>114.35119886671001</v>
      </c>
      <c r="N495" s="21"/>
      <c r="O495" s="21"/>
      <c r="P495" s="21"/>
      <c r="Q495" s="52" t="str">
        <f t="shared" si="7"/>
        <v/>
      </c>
    </row>
    <row r="496" spans="1:17" x14ac:dyDescent="0.3">
      <c r="A496" s="41"/>
      <c r="B496" s="57"/>
      <c r="C496" s="46" t="s">
        <v>716</v>
      </c>
      <c r="D496" s="22" t="s">
        <v>716</v>
      </c>
      <c r="E496" s="34"/>
      <c r="F496" s="34"/>
      <c r="G496" s="34"/>
      <c r="H496" s="35"/>
      <c r="I496" s="35"/>
      <c r="J496" s="34"/>
      <c r="K496" s="34"/>
      <c r="L496" s="34"/>
      <c r="M496" s="68"/>
      <c r="N496" s="21"/>
      <c r="O496" s="21"/>
      <c r="P496" s="21"/>
      <c r="Q496" s="52" t="str">
        <f t="shared" si="7"/>
        <v/>
      </c>
    </row>
    <row r="497" spans="1:17" x14ac:dyDescent="0.3">
      <c r="B497" s="58" t="s">
        <v>660</v>
      </c>
      <c r="C497" s="46" t="s">
        <v>716</v>
      </c>
      <c r="D497" s="22" t="s">
        <v>716</v>
      </c>
      <c r="E497" s="34"/>
      <c r="F497" s="34"/>
      <c r="G497" s="34"/>
      <c r="H497" s="35"/>
      <c r="I497" s="35"/>
      <c r="J497" s="34"/>
      <c r="K497" s="34"/>
      <c r="L497" s="34"/>
      <c r="M497" s="68"/>
      <c r="N497" s="21"/>
      <c r="O497" s="21"/>
      <c r="P497" s="21"/>
      <c r="Q497" s="52" t="str">
        <f t="shared" si="7"/>
        <v/>
      </c>
    </row>
    <row r="498" spans="1:17" x14ac:dyDescent="0.3">
      <c r="A498" s="41"/>
      <c r="B498" s="57"/>
      <c r="C498" s="46" t="s">
        <v>716</v>
      </c>
      <c r="D498" s="22" t="s">
        <v>716</v>
      </c>
      <c r="E498" s="34"/>
      <c r="F498" s="34"/>
      <c r="G498" s="34"/>
      <c r="H498" s="35"/>
      <c r="I498" s="35"/>
      <c r="J498" s="34"/>
      <c r="K498" s="34"/>
      <c r="L498" s="34"/>
      <c r="M498" s="68"/>
      <c r="N498" s="21"/>
      <c r="O498" s="21"/>
      <c r="P498" s="21"/>
      <c r="Q498" s="52" t="str">
        <f t="shared" si="7"/>
        <v/>
      </c>
    </row>
    <row r="499" spans="1:17" x14ac:dyDescent="0.3">
      <c r="A499" s="40" t="s">
        <v>205</v>
      </c>
      <c r="B499" s="59" t="s">
        <v>661</v>
      </c>
      <c r="C499" s="46">
        <v>2.8870349003613596</v>
      </c>
      <c r="D499" s="22">
        <v>112.55934734603606</v>
      </c>
      <c r="E499" s="34">
        <v>112.55934734603601</v>
      </c>
      <c r="F499" s="34">
        <v>112.55934734603601</v>
      </c>
      <c r="G499" s="34">
        <v>112.55934734603601</v>
      </c>
      <c r="H499" s="35">
        <v>112.55934734603601</v>
      </c>
      <c r="I499" s="35">
        <v>112.55934734603601</v>
      </c>
      <c r="J499" s="34">
        <v>112.55934734603601</v>
      </c>
      <c r="K499" s="34">
        <v>112.59850603544299</v>
      </c>
      <c r="L499" s="34">
        <v>112.59850603544299</v>
      </c>
      <c r="M499" s="68">
        <v>116.06924821376199</v>
      </c>
      <c r="N499" s="21"/>
      <c r="O499" s="21"/>
      <c r="P499" s="21"/>
      <c r="Q499" s="52" t="str">
        <f t="shared" si="7"/>
        <v/>
      </c>
    </row>
    <row r="500" spans="1:17" x14ac:dyDescent="0.3">
      <c r="A500" s="40" t="s">
        <v>206</v>
      </c>
      <c r="B500" s="57" t="s">
        <v>662</v>
      </c>
      <c r="C500" s="46">
        <v>2.0736933169395453</v>
      </c>
      <c r="D500" s="22">
        <v>113.62286432105637</v>
      </c>
      <c r="E500" s="34">
        <v>113.622864321056</v>
      </c>
      <c r="F500" s="34">
        <v>113.622864321056</v>
      </c>
      <c r="G500" s="34">
        <v>113.622864321056</v>
      </c>
      <c r="H500" s="35">
        <v>113.622864321056</v>
      </c>
      <c r="I500" s="35">
        <v>113.622864321056</v>
      </c>
      <c r="J500" s="34">
        <v>113.622864321056</v>
      </c>
      <c r="K500" s="34">
        <v>113.622864321056</v>
      </c>
      <c r="L500" s="34">
        <v>113.622864321056</v>
      </c>
      <c r="M500" s="68">
        <v>116.987170232061</v>
      </c>
      <c r="N500" s="21"/>
      <c r="O500" s="21"/>
      <c r="P500" s="21"/>
      <c r="Q500" s="52" t="str">
        <f t="shared" si="7"/>
        <v/>
      </c>
    </row>
    <row r="501" spans="1:17" x14ac:dyDescent="0.3">
      <c r="A501" s="40"/>
      <c r="B501" s="57"/>
      <c r="C501" s="46" t="s">
        <v>716</v>
      </c>
      <c r="D501" s="22" t="s">
        <v>716</v>
      </c>
      <c r="E501" s="34"/>
      <c r="F501" s="35"/>
      <c r="G501" s="35"/>
      <c r="H501" s="35"/>
      <c r="I501" s="35"/>
      <c r="J501" s="35"/>
      <c r="K501" s="35"/>
      <c r="L501" s="35"/>
      <c r="M501" s="69"/>
      <c r="Q501" s="52" t="str">
        <f t="shared" si="7"/>
        <v/>
      </c>
    </row>
    <row r="502" spans="1:17" x14ac:dyDescent="0.3">
      <c r="A502" s="40" t="s">
        <v>207</v>
      </c>
      <c r="B502" s="57" t="s">
        <v>663</v>
      </c>
      <c r="C502" s="46">
        <v>4.9607282173009049</v>
      </c>
      <c r="D502" s="22">
        <v>113.35265112659312</v>
      </c>
      <c r="E502" s="34">
        <v>113.352651126593</v>
      </c>
      <c r="F502" s="35">
        <v>113.352651126593</v>
      </c>
      <c r="G502" s="35">
        <v>113.352651126593</v>
      </c>
      <c r="H502" s="35">
        <v>113.352651126593</v>
      </c>
      <c r="I502" s="35">
        <v>113.352651126593</v>
      </c>
      <c r="J502" s="35">
        <v>113.352651126593</v>
      </c>
      <c r="K502" s="35">
        <v>113.375601241468</v>
      </c>
      <c r="L502" s="35">
        <v>113.375601241468</v>
      </c>
      <c r="M502" s="69">
        <v>116.81274215575399</v>
      </c>
      <c r="Q502" s="52" t="str">
        <f t="shared" si="7"/>
        <v/>
      </c>
    </row>
    <row r="503" spans="1:17" x14ac:dyDescent="0.3">
      <c r="A503" s="41"/>
      <c r="B503" s="57"/>
      <c r="C503" s="46" t="s">
        <v>716</v>
      </c>
      <c r="D503" s="22" t="s">
        <v>716</v>
      </c>
      <c r="E503" s="34"/>
      <c r="F503" s="35"/>
      <c r="G503" s="35"/>
      <c r="H503" s="35"/>
      <c r="I503" s="35"/>
      <c r="J503" s="35"/>
      <c r="K503" s="35"/>
      <c r="L503" s="35"/>
      <c r="M503" s="69"/>
      <c r="Q503" s="52" t="str">
        <f t="shared" si="7"/>
        <v/>
      </c>
    </row>
    <row r="504" spans="1:17" x14ac:dyDescent="0.3">
      <c r="A504" s="40" t="s">
        <v>327</v>
      </c>
      <c r="B504" s="57" t="s">
        <v>664</v>
      </c>
      <c r="C504" s="46">
        <v>4.9607282173009049</v>
      </c>
      <c r="D504" s="22">
        <v>113.35265112659312</v>
      </c>
      <c r="E504" s="34">
        <v>113.352651126593</v>
      </c>
      <c r="F504" s="35">
        <v>113.352651126593</v>
      </c>
      <c r="G504" s="35">
        <v>113.352651126593</v>
      </c>
      <c r="H504" s="35">
        <v>113.352651126593</v>
      </c>
      <c r="I504" s="35">
        <v>113.352651126593</v>
      </c>
      <c r="J504" s="35">
        <v>113.352651126593</v>
      </c>
      <c r="K504" s="35">
        <v>113.375601241468</v>
      </c>
      <c r="L504" s="35">
        <v>113.375601241468</v>
      </c>
      <c r="M504" s="69">
        <v>116.81274215575399</v>
      </c>
      <c r="Q504" s="52" t="str">
        <f t="shared" si="7"/>
        <v/>
      </c>
    </row>
    <row r="505" spans="1:17" x14ac:dyDescent="0.3">
      <c r="A505" s="40"/>
      <c r="B505" s="57"/>
      <c r="C505" s="46" t="s">
        <v>716</v>
      </c>
      <c r="D505" s="22" t="s">
        <v>716</v>
      </c>
      <c r="E505" s="34"/>
      <c r="F505" s="35"/>
      <c r="G505" s="35"/>
      <c r="H505" s="35"/>
      <c r="I505" s="35"/>
      <c r="J505" s="35"/>
      <c r="K505" s="35"/>
      <c r="L505" s="35"/>
      <c r="M505" s="69"/>
      <c r="Q505" s="52" t="str">
        <f t="shared" si="7"/>
        <v/>
      </c>
    </row>
    <row r="506" spans="1:17" x14ac:dyDescent="0.3">
      <c r="A506" s="40" t="s">
        <v>208</v>
      </c>
      <c r="B506" s="57" t="s">
        <v>665</v>
      </c>
      <c r="C506" s="46">
        <v>4.1712345430038136</v>
      </c>
      <c r="D506" s="22">
        <v>115.18571732597361</v>
      </c>
      <c r="E506" s="34">
        <v>115.185717325974</v>
      </c>
      <c r="F506" s="35">
        <v>115.19738556567999</v>
      </c>
      <c r="G506" s="35">
        <v>115.176590674593</v>
      </c>
      <c r="H506" s="35">
        <v>115.176590674593</v>
      </c>
      <c r="I506" s="35">
        <v>115.177899125275</v>
      </c>
      <c r="J506" s="35">
        <v>115.177899125275</v>
      </c>
      <c r="K506" s="35">
        <v>115.177899125275</v>
      </c>
      <c r="L506" s="35">
        <v>115.177899125275</v>
      </c>
      <c r="M506" s="69">
        <v>119.53576394778599</v>
      </c>
      <c r="Q506" s="52" t="str">
        <f t="shared" si="7"/>
        <v/>
      </c>
    </row>
    <row r="507" spans="1:17" x14ac:dyDescent="0.3">
      <c r="A507" s="40"/>
      <c r="B507" s="57"/>
      <c r="C507" s="46" t="s">
        <v>716</v>
      </c>
      <c r="D507" s="22" t="s">
        <v>716</v>
      </c>
      <c r="E507" s="34"/>
      <c r="F507" s="35"/>
      <c r="G507" s="35"/>
      <c r="H507" s="35"/>
      <c r="I507" s="35"/>
      <c r="J507" s="35"/>
      <c r="K507" s="35"/>
      <c r="L507" s="35"/>
      <c r="M507" s="69"/>
      <c r="Q507" s="52" t="str">
        <f t="shared" si="7"/>
        <v/>
      </c>
    </row>
    <row r="508" spans="1:17" x14ac:dyDescent="0.3">
      <c r="A508" s="40" t="s">
        <v>328</v>
      </c>
      <c r="B508" s="57" t="s">
        <v>666</v>
      </c>
      <c r="C508" s="46">
        <v>4.1712345430038136</v>
      </c>
      <c r="D508" s="22">
        <v>115.18571732597361</v>
      </c>
      <c r="E508" s="34">
        <v>115.185717325974</v>
      </c>
      <c r="F508" s="35">
        <v>115.19738556567999</v>
      </c>
      <c r="G508" s="35">
        <v>115.176590674593</v>
      </c>
      <c r="H508" s="35">
        <v>115.176590674593</v>
      </c>
      <c r="I508" s="35">
        <v>115.177899125275</v>
      </c>
      <c r="J508" s="35">
        <v>115.177899125275</v>
      </c>
      <c r="K508" s="35">
        <v>115.177899125275</v>
      </c>
      <c r="L508" s="35">
        <v>115.177899125275</v>
      </c>
      <c r="M508" s="69">
        <v>119.53576394778599</v>
      </c>
      <c r="Q508" s="52" t="str">
        <f t="shared" si="7"/>
        <v/>
      </c>
    </row>
    <row r="509" spans="1:17" x14ac:dyDescent="0.3">
      <c r="A509" s="40"/>
      <c r="B509" s="57"/>
      <c r="C509" s="46" t="s">
        <v>716</v>
      </c>
      <c r="D509" s="22" t="s">
        <v>716</v>
      </c>
      <c r="E509" s="34"/>
      <c r="F509" s="35"/>
      <c r="G509" s="35"/>
      <c r="H509" s="35"/>
      <c r="I509" s="35"/>
      <c r="J509" s="35"/>
      <c r="K509" s="35"/>
      <c r="L509" s="35"/>
      <c r="M509" s="69"/>
      <c r="Q509" s="52" t="str">
        <f t="shared" si="7"/>
        <v/>
      </c>
    </row>
    <row r="510" spans="1:17" x14ac:dyDescent="0.3">
      <c r="A510" s="41" t="s">
        <v>209</v>
      </c>
      <c r="B510" s="57" t="s">
        <v>667</v>
      </c>
      <c r="C510" s="46">
        <v>2.8514757211710737</v>
      </c>
      <c r="D510" s="22">
        <v>98.342715485170231</v>
      </c>
      <c r="E510" s="34">
        <v>98.342715485170203</v>
      </c>
      <c r="F510" s="35">
        <v>98.342715485170203</v>
      </c>
      <c r="G510" s="35">
        <v>98.342715485170203</v>
      </c>
      <c r="H510" s="35">
        <v>98.342715485170203</v>
      </c>
      <c r="I510" s="35">
        <v>98.342715485170203</v>
      </c>
      <c r="J510" s="35">
        <v>98.342715485170203</v>
      </c>
      <c r="K510" s="35">
        <v>98.342715485170203</v>
      </c>
      <c r="L510" s="35">
        <v>98.342715485170203</v>
      </c>
      <c r="M510" s="69">
        <v>99.748641275710497</v>
      </c>
      <c r="Q510" s="52" t="str">
        <f t="shared" si="7"/>
        <v/>
      </c>
    </row>
    <row r="511" spans="1:17" x14ac:dyDescent="0.3">
      <c r="A511" s="40"/>
      <c r="B511" s="57"/>
      <c r="C511" s="46" t="s">
        <v>716</v>
      </c>
      <c r="D511" s="22" t="s">
        <v>716</v>
      </c>
      <c r="E511" s="34"/>
      <c r="F511" s="35"/>
      <c r="G511" s="35"/>
      <c r="H511" s="35"/>
      <c r="I511" s="35"/>
      <c r="J511" s="35"/>
      <c r="K511" s="35"/>
      <c r="L511" s="35"/>
      <c r="M511" s="69"/>
      <c r="Q511" s="52" t="str">
        <f t="shared" si="7"/>
        <v/>
      </c>
    </row>
    <row r="512" spans="1:17" x14ac:dyDescent="0.3">
      <c r="A512" s="41" t="s">
        <v>329</v>
      </c>
      <c r="B512" s="57" t="s">
        <v>668</v>
      </c>
      <c r="C512" s="46">
        <v>2.8514757211710737</v>
      </c>
      <c r="D512" s="22">
        <v>98.342715485170231</v>
      </c>
      <c r="E512" s="34">
        <v>98.342715485170203</v>
      </c>
      <c r="F512" s="35">
        <v>98.342715485170203</v>
      </c>
      <c r="G512" s="35">
        <v>98.342715485170203</v>
      </c>
      <c r="H512" s="35">
        <v>98.342715485170203</v>
      </c>
      <c r="I512" s="35">
        <v>98.342715485170203</v>
      </c>
      <c r="J512" s="35">
        <v>98.342715485170203</v>
      </c>
      <c r="K512" s="35">
        <v>98.342715485170203</v>
      </c>
      <c r="L512" s="35">
        <v>98.342715485170203</v>
      </c>
      <c r="M512" s="69">
        <v>99.748641275710497</v>
      </c>
      <c r="Q512" s="52" t="str">
        <f t="shared" si="7"/>
        <v/>
      </c>
    </row>
    <row r="513" spans="1:17" x14ac:dyDescent="0.3">
      <c r="A513" s="40"/>
      <c r="B513" s="57"/>
      <c r="C513" s="46" t="s">
        <v>716</v>
      </c>
      <c r="D513" s="22" t="s">
        <v>716</v>
      </c>
      <c r="E513" s="34"/>
      <c r="F513" s="35"/>
      <c r="G513" s="35"/>
      <c r="H513" s="35"/>
      <c r="I513" s="35"/>
      <c r="J513" s="35"/>
      <c r="K513" s="35"/>
      <c r="L513" s="35"/>
      <c r="M513" s="69"/>
      <c r="Q513" s="52" t="str">
        <f t="shared" si="7"/>
        <v/>
      </c>
    </row>
    <row r="514" spans="1:17" x14ac:dyDescent="0.3">
      <c r="A514" s="41" t="s">
        <v>210</v>
      </c>
      <c r="B514" s="57" t="s">
        <v>669</v>
      </c>
      <c r="C514" s="46">
        <v>2.8854552100865329</v>
      </c>
      <c r="D514" s="22">
        <v>107.29796350000001</v>
      </c>
      <c r="E514" s="34">
        <v>107.29796349999999</v>
      </c>
      <c r="F514" s="35">
        <v>107.29796349999999</v>
      </c>
      <c r="G514" s="35">
        <v>107.29796349999999</v>
      </c>
      <c r="H514" s="35">
        <v>107.29796349999999</v>
      </c>
      <c r="I514" s="35">
        <v>107.29796349999999</v>
      </c>
      <c r="J514" s="35">
        <v>107.29796349999999</v>
      </c>
      <c r="K514" s="35">
        <v>107.29796349999999</v>
      </c>
      <c r="L514" s="35">
        <v>107.29796349999999</v>
      </c>
      <c r="M514" s="69">
        <v>109.9804125875</v>
      </c>
      <c r="Q514" s="52" t="str">
        <f t="shared" si="7"/>
        <v/>
      </c>
    </row>
    <row r="515" spans="1:17" x14ac:dyDescent="0.3">
      <c r="A515" s="40"/>
      <c r="B515" s="57"/>
      <c r="C515" s="46" t="s">
        <v>716</v>
      </c>
      <c r="D515" s="22" t="s">
        <v>716</v>
      </c>
      <c r="E515" s="34"/>
      <c r="F515" s="35"/>
      <c r="G515" s="35"/>
      <c r="H515" s="35"/>
      <c r="I515" s="35"/>
      <c r="J515" s="35"/>
      <c r="K515" s="35"/>
      <c r="L515" s="35"/>
      <c r="M515" s="69"/>
      <c r="Q515" s="52" t="str">
        <f t="shared" si="7"/>
        <v/>
      </c>
    </row>
    <row r="516" spans="1:17" x14ac:dyDescent="0.3">
      <c r="A516" s="41" t="s">
        <v>330</v>
      </c>
      <c r="B516" s="57" t="s">
        <v>670</v>
      </c>
      <c r="C516" s="46">
        <v>2.8854552100865329</v>
      </c>
      <c r="D516" s="22">
        <v>107.29796350000001</v>
      </c>
      <c r="E516" s="34">
        <v>107.29796349999999</v>
      </c>
      <c r="F516" s="35">
        <v>107.29796349999999</v>
      </c>
      <c r="G516" s="35">
        <v>107.29796349999999</v>
      </c>
      <c r="H516" s="35">
        <v>107.29796349999999</v>
      </c>
      <c r="I516" s="35">
        <v>107.29796349999999</v>
      </c>
      <c r="J516" s="35">
        <v>107.29796349999999</v>
      </c>
      <c r="K516" s="35">
        <v>107.29796349999999</v>
      </c>
      <c r="L516" s="35">
        <v>107.29796349999999</v>
      </c>
      <c r="M516" s="69">
        <v>109.9804125875</v>
      </c>
      <c r="Q516" s="52" t="str">
        <f t="shared" si="7"/>
        <v/>
      </c>
    </row>
    <row r="517" spans="1:17" x14ac:dyDescent="0.3">
      <c r="A517" s="40"/>
      <c r="B517" s="57"/>
      <c r="C517" s="46" t="s">
        <v>716</v>
      </c>
      <c r="D517" s="22" t="s">
        <v>716</v>
      </c>
      <c r="E517" s="34"/>
      <c r="F517" s="35"/>
      <c r="G517" s="35"/>
      <c r="H517" s="35"/>
      <c r="I517" s="35"/>
      <c r="J517" s="35"/>
      <c r="K517" s="35"/>
      <c r="L517" s="35"/>
      <c r="M517" s="69"/>
      <c r="Q517" s="52" t="str">
        <f t="shared" si="7"/>
        <v/>
      </c>
    </row>
    <row r="518" spans="1:17" x14ac:dyDescent="0.3">
      <c r="A518" s="41" t="s">
        <v>1</v>
      </c>
      <c r="B518" s="57" t="s">
        <v>671</v>
      </c>
      <c r="C518" s="46">
        <v>14.868893691562326</v>
      </c>
      <c r="D518" s="22">
        <v>112.55683220790689</v>
      </c>
      <c r="E518" s="34">
        <v>112.55683220790699</v>
      </c>
      <c r="F518" s="35">
        <v>112.560030841743</v>
      </c>
      <c r="G518" s="35">
        <v>112.554330303879</v>
      </c>
      <c r="H518" s="35">
        <v>112.554330303879</v>
      </c>
      <c r="I518" s="35">
        <v>112.554688991627</v>
      </c>
      <c r="J518" s="35">
        <v>112.554688991627</v>
      </c>
      <c r="K518" s="35">
        <v>112.56229211121099</v>
      </c>
      <c r="L518" s="35">
        <v>112.56229211121099</v>
      </c>
      <c r="M518" s="69">
        <v>115.75026753594</v>
      </c>
      <c r="Q518" s="52" t="str">
        <f t="shared" si="7"/>
        <v/>
      </c>
    </row>
    <row r="519" spans="1:17" x14ac:dyDescent="0.3">
      <c r="A519" s="40"/>
      <c r="B519" s="57"/>
      <c r="C519" s="46" t="s">
        <v>716</v>
      </c>
      <c r="D519" s="22" t="s">
        <v>716</v>
      </c>
      <c r="E519" s="34"/>
      <c r="F519" s="35"/>
      <c r="G519" s="35"/>
      <c r="H519" s="35"/>
      <c r="I519" s="35"/>
      <c r="J519" s="35"/>
      <c r="K519" s="35"/>
      <c r="L519" s="35"/>
      <c r="M519" s="69"/>
      <c r="Q519" s="52" t="str">
        <f t="shared" si="7"/>
        <v/>
      </c>
    </row>
    <row r="520" spans="1:17" x14ac:dyDescent="0.3">
      <c r="B520" s="60" t="s">
        <v>672</v>
      </c>
      <c r="C520" s="47" t="s">
        <v>716</v>
      </c>
      <c r="D520" s="49" t="s">
        <v>716</v>
      </c>
      <c r="E520" s="34"/>
      <c r="F520" s="35"/>
      <c r="G520" s="35"/>
      <c r="H520" s="35"/>
      <c r="I520" s="35"/>
      <c r="J520" s="35"/>
      <c r="K520" s="35"/>
      <c r="L520" s="35"/>
      <c r="M520" s="69"/>
      <c r="Q520" s="52" t="str">
        <f t="shared" ref="Q520:Q583" si="8">IF(P520="","",AVERAGE(E520:P520))</f>
        <v/>
      </c>
    </row>
    <row r="521" spans="1:17" x14ac:dyDescent="0.3">
      <c r="A521" s="39"/>
      <c r="B521" s="60"/>
      <c r="C521" s="47" t="s">
        <v>716</v>
      </c>
      <c r="D521" s="49" t="s">
        <v>716</v>
      </c>
      <c r="E521" s="34"/>
      <c r="F521" s="35"/>
      <c r="G521" s="35"/>
      <c r="H521" s="35"/>
      <c r="I521" s="35"/>
      <c r="J521" s="35"/>
      <c r="K521" s="35"/>
      <c r="L521" s="35"/>
      <c r="M521" s="69"/>
      <c r="Q521" s="52" t="str">
        <f t="shared" si="8"/>
        <v/>
      </c>
    </row>
    <row r="522" spans="1:17" x14ac:dyDescent="0.3">
      <c r="A522" s="66" t="s">
        <v>151</v>
      </c>
      <c r="B522" s="56" t="s">
        <v>673</v>
      </c>
      <c r="C522" s="47">
        <v>83.806664493134903</v>
      </c>
      <c r="D522" s="49">
        <v>129.32517529667746</v>
      </c>
      <c r="E522" s="34">
        <v>130.05954535044299</v>
      </c>
      <c r="F522" s="35">
        <v>130.34555478151299</v>
      </c>
      <c r="G522" s="35">
        <v>130.82466555659099</v>
      </c>
      <c r="H522" s="35">
        <v>131.79877407705899</v>
      </c>
      <c r="I522" s="35">
        <v>134.38994498974901</v>
      </c>
      <c r="J522" s="35">
        <v>134.78029516010599</v>
      </c>
      <c r="K522" s="35">
        <v>133.472966484132</v>
      </c>
      <c r="L522" s="35">
        <v>133.61171610845599</v>
      </c>
      <c r="M522" s="69">
        <v>134.463478014255</v>
      </c>
      <c r="Q522" s="52" t="str">
        <f t="shared" si="8"/>
        <v/>
      </c>
    </row>
    <row r="523" spans="1:17" x14ac:dyDescent="0.3">
      <c r="A523" s="40" t="s">
        <v>152</v>
      </c>
      <c r="B523" s="57" t="s">
        <v>674</v>
      </c>
      <c r="C523" s="46">
        <v>30.109120196438251</v>
      </c>
      <c r="D523" s="22">
        <v>135.95128835188297</v>
      </c>
      <c r="E523" s="34">
        <v>136.417857383148</v>
      </c>
      <c r="F523" s="35">
        <v>136.51890253899001</v>
      </c>
      <c r="G523" s="35">
        <v>137.19444984480199</v>
      </c>
      <c r="H523" s="35">
        <v>137.649414280982</v>
      </c>
      <c r="I523" s="35">
        <v>142.8072421151</v>
      </c>
      <c r="J523" s="35">
        <v>143.08257621326999</v>
      </c>
      <c r="K523" s="35">
        <v>139.99265218551099</v>
      </c>
      <c r="L523" s="35">
        <v>140.1439277531</v>
      </c>
      <c r="M523" s="69">
        <v>140.680544694818</v>
      </c>
      <c r="Q523" s="52" t="str">
        <f t="shared" si="8"/>
        <v/>
      </c>
    </row>
    <row r="524" spans="1:17" x14ac:dyDescent="0.3">
      <c r="A524" s="40"/>
      <c r="B524" s="57"/>
      <c r="C524" s="46" t="s">
        <v>716</v>
      </c>
      <c r="D524" s="22" t="s">
        <v>716</v>
      </c>
      <c r="E524" s="34"/>
      <c r="F524" s="35"/>
      <c r="G524" s="35"/>
      <c r="H524" s="35"/>
      <c r="I524" s="35"/>
      <c r="J524" s="35"/>
      <c r="K524" s="35"/>
      <c r="L524" s="35"/>
      <c r="M524" s="69"/>
      <c r="Q524" s="52" t="str">
        <f t="shared" si="8"/>
        <v/>
      </c>
    </row>
    <row r="525" spans="1:17" x14ac:dyDescent="0.3">
      <c r="A525" s="41" t="s">
        <v>153</v>
      </c>
      <c r="B525" s="57" t="s">
        <v>675</v>
      </c>
      <c r="C525" s="46">
        <v>113.91578468957316</v>
      </c>
      <c r="D525" s="22">
        <v>130.79539895996365</v>
      </c>
      <c r="E525" s="34">
        <v>131.46045161875199</v>
      </c>
      <c r="F525" s="35">
        <v>131.69895229550701</v>
      </c>
      <c r="G525" s="35">
        <v>132.22721880160401</v>
      </c>
      <c r="H525" s="35">
        <v>133.06769876336901</v>
      </c>
      <c r="I525" s="35">
        <v>136.307233975842</v>
      </c>
      <c r="J525" s="35">
        <v>136.66768904747701</v>
      </c>
      <c r="K525" s="35">
        <v>134.909240889187</v>
      </c>
      <c r="L525" s="35">
        <v>135.05094533773101</v>
      </c>
      <c r="M525" s="69">
        <v>135.82115602795801</v>
      </c>
      <c r="Q525" s="52" t="str">
        <f t="shared" si="8"/>
        <v/>
      </c>
    </row>
    <row r="526" spans="1:17" x14ac:dyDescent="0.3">
      <c r="A526" s="40"/>
      <c r="B526" s="57"/>
      <c r="C526" s="46" t="s">
        <v>716</v>
      </c>
      <c r="D526" s="22" t="s">
        <v>716</v>
      </c>
      <c r="E526" s="34"/>
      <c r="F526" s="35"/>
      <c r="G526" s="35"/>
      <c r="H526" s="35"/>
      <c r="I526" s="35"/>
      <c r="J526" s="35"/>
      <c r="K526" s="35"/>
      <c r="L526" s="35"/>
      <c r="M526" s="69"/>
      <c r="Q526" s="52" t="str">
        <f t="shared" si="8"/>
        <v/>
      </c>
    </row>
    <row r="527" spans="1:17" x14ac:dyDescent="0.3">
      <c r="A527" s="41" t="s">
        <v>331</v>
      </c>
      <c r="B527" s="57" t="s">
        <v>676</v>
      </c>
      <c r="C527" s="46">
        <v>3.7595890096061844</v>
      </c>
      <c r="D527" s="22">
        <v>121.90711752146288</v>
      </c>
      <c r="E527" s="34">
        <v>122.2665568518</v>
      </c>
      <c r="F527" s="35">
        <v>126.565190447842</v>
      </c>
      <c r="G527" s="35">
        <v>126.70495021399999</v>
      </c>
      <c r="H527" s="35">
        <v>126.766144158521</v>
      </c>
      <c r="I527" s="35">
        <v>128.37086008702599</v>
      </c>
      <c r="J527" s="35">
        <v>128.58915044479801</v>
      </c>
      <c r="K527" s="35">
        <v>128.79578262667201</v>
      </c>
      <c r="L527" s="35">
        <v>128.841087898019</v>
      </c>
      <c r="M527" s="69">
        <v>129.60467191025899</v>
      </c>
      <c r="Q527" s="52" t="str">
        <f t="shared" si="8"/>
        <v/>
      </c>
    </row>
    <row r="528" spans="1:17" x14ac:dyDescent="0.3">
      <c r="A528" s="40"/>
      <c r="B528" s="57"/>
      <c r="C528" s="46" t="s">
        <v>716</v>
      </c>
      <c r="D528" s="22" t="s">
        <v>716</v>
      </c>
      <c r="E528" s="34"/>
      <c r="F528" s="35"/>
      <c r="G528" s="35"/>
      <c r="H528" s="35"/>
      <c r="I528" s="35"/>
      <c r="J528" s="35"/>
      <c r="K528" s="35"/>
      <c r="L528" s="35"/>
      <c r="M528" s="69"/>
      <c r="Q528" s="52" t="str">
        <f t="shared" si="8"/>
        <v/>
      </c>
    </row>
    <row r="529" spans="1:17" x14ac:dyDescent="0.3">
      <c r="A529" s="41" t="s">
        <v>154</v>
      </c>
      <c r="B529" s="57" t="s">
        <v>677</v>
      </c>
      <c r="C529" s="46">
        <v>3.7595890096061844</v>
      </c>
      <c r="D529" s="22">
        <v>121.90711752146288</v>
      </c>
      <c r="E529" s="34">
        <v>122.2665568518</v>
      </c>
      <c r="F529" s="35">
        <v>126.565190447842</v>
      </c>
      <c r="G529" s="35">
        <v>126.70495021399999</v>
      </c>
      <c r="H529" s="35">
        <v>126.766144158521</v>
      </c>
      <c r="I529" s="35">
        <v>128.37086008702599</v>
      </c>
      <c r="J529" s="35">
        <v>128.58915044479801</v>
      </c>
      <c r="K529" s="35">
        <v>128.79578262667201</v>
      </c>
      <c r="L529" s="35">
        <v>128.841087898019</v>
      </c>
      <c r="M529" s="69">
        <v>129.60467191025899</v>
      </c>
      <c r="Q529" s="52" t="str">
        <f t="shared" si="8"/>
        <v/>
      </c>
    </row>
    <row r="530" spans="1:17" x14ac:dyDescent="0.3">
      <c r="A530" s="40"/>
      <c r="B530" s="57"/>
      <c r="C530" s="46" t="s">
        <v>716</v>
      </c>
      <c r="D530" s="22" t="s">
        <v>716</v>
      </c>
      <c r="E530" s="34"/>
      <c r="F530" s="35"/>
      <c r="G530" s="35"/>
      <c r="H530" s="35"/>
      <c r="I530" s="35"/>
      <c r="J530" s="35"/>
      <c r="K530" s="35"/>
      <c r="L530" s="35"/>
      <c r="M530" s="69"/>
      <c r="Q530" s="52" t="str">
        <f t="shared" si="8"/>
        <v/>
      </c>
    </row>
    <row r="531" spans="1:17" x14ac:dyDescent="0.3">
      <c r="A531" s="41" t="s">
        <v>155</v>
      </c>
      <c r="B531" s="57" t="s">
        <v>678</v>
      </c>
      <c r="C531" s="46">
        <v>117.67537369917935</v>
      </c>
      <c r="D531" s="22">
        <v>130.11465094853781</v>
      </c>
      <c r="E531" s="34">
        <v>130.767361975174</v>
      </c>
      <c r="F531" s="35">
        <v>131.14362375361199</v>
      </c>
      <c r="G531" s="35">
        <v>131.65711693526899</v>
      </c>
      <c r="H531" s="35">
        <v>132.46859658778899</v>
      </c>
      <c r="I531" s="35">
        <v>135.64303092671599</v>
      </c>
      <c r="J531" s="35">
        <v>135.99759742913199</v>
      </c>
      <c r="K531" s="35">
        <v>134.311235484126</v>
      </c>
      <c r="L531" s="35">
        <v>134.44924358113701</v>
      </c>
      <c r="M531" s="69">
        <v>135.217004392495</v>
      </c>
      <c r="Q531" s="52" t="str">
        <f t="shared" si="8"/>
        <v/>
      </c>
    </row>
    <row r="532" spans="1:17" x14ac:dyDescent="0.3">
      <c r="A532" s="42"/>
      <c r="B532" s="59"/>
      <c r="C532" s="46" t="s">
        <v>716</v>
      </c>
      <c r="D532" s="22" t="s">
        <v>716</v>
      </c>
      <c r="E532" s="34"/>
      <c r="F532" s="35"/>
      <c r="G532" s="35"/>
      <c r="H532" s="35"/>
      <c r="I532" s="35"/>
      <c r="J532" s="35"/>
      <c r="K532" s="35"/>
      <c r="L532" s="35"/>
      <c r="M532" s="69"/>
      <c r="Q532" s="52" t="str">
        <f t="shared" si="8"/>
        <v/>
      </c>
    </row>
    <row r="533" spans="1:17" x14ac:dyDescent="0.3">
      <c r="A533" s="42" t="s">
        <v>211</v>
      </c>
      <c r="B533" s="59" t="s">
        <v>679</v>
      </c>
      <c r="C533" s="46">
        <v>5.5005129893559115</v>
      </c>
      <c r="D533" s="22">
        <v>122.21396224226719</v>
      </c>
      <c r="E533" s="34">
        <v>114.747861202007</v>
      </c>
      <c r="F533" s="35">
        <v>124.615036703314</v>
      </c>
      <c r="G533" s="35">
        <v>130.128199225917</v>
      </c>
      <c r="H533" s="35">
        <v>143.425075023913</v>
      </c>
      <c r="I533" s="35">
        <v>159.14965790329401</v>
      </c>
      <c r="J533" s="35">
        <v>160.01595272757501</v>
      </c>
      <c r="K533" s="35">
        <v>159.67496300061799</v>
      </c>
      <c r="L533" s="35">
        <v>164.11133521903099</v>
      </c>
      <c r="M533" s="69">
        <v>177.954223508757</v>
      </c>
      <c r="Q533" s="52" t="str">
        <f t="shared" si="8"/>
        <v/>
      </c>
    </row>
    <row r="534" spans="1:17" x14ac:dyDescent="0.3">
      <c r="A534" s="41" t="s">
        <v>212</v>
      </c>
      <c r="B534" s="57" t="s">
        <v>680</v>
      </c>
      <c r="C534" s="46">
        <v>9.0534705817153116E-2</v>
      </c>
      <c r="D534" s="22">
        <v>134.46440746918657</v>
      </c>
      <c r="E534" s="34">
        <v>134.46440746918699</v>
      </c>
      <c r="F534" s="35">
        <v>134.46440746918699</v>
      </c>
      <c r="G534" s="35">
        <v>134.46440746918699</v>
      </c>
      <c r="H534" s="35">
        <v>135.20396171026701</v>
      </c>
      <c r="I534" s="35">
        <v>138.178448867893</v>
      </c>
      <c r="J534" s="35">
        <v>146.49679148973999</v>
      </c>
      <c r="K534" s="35">
        <v>165.057934971489</v>
      </c>
      <c r="L534" s="35">
        <v>166.59297376672501</v>
      </c>
      <c r="M534" s="69">
        <v>146.701772698978</v>
      </c>
      <c r="Q534" s="52" t="str">
        <f t="shared" si="8"/>
        <v/>
      </c>
    </row>
    <row r="535" spans="1:17" x14ac:dyDescent="0.3">
      <c r="A535" s="40"/>
      <c r="B535" s="57"/>
      <c r="C535" s="46" t="s">
        <v>716</v>
      </c>
      <c r="D535" s="22" t="s">
        <v>716</v>
      </c>
      <c r="E535" s="34"/>
      <c r="F535" s="35"/>
      <c r="G535" s="35"/>
      <c r="H535" s="35"/>
      <c r="I535" s="35"/>
      <c r="J535" s="35"/>
      <c r="K535" s="35"/>
      <c r="L535" s="35"/>
      <c r="M535" s="69"/>
      <c r="Q535" s="52" t="str">
        <f t="shared" si="8"/>
        <v/>
      </c>
    </row>
    <row r="536" spans="1:17" x14ac:dyDescent="0.3">
      <c r="A536" s="41" t="s">
        <v>156</v>
      </c>
      <c r="B536" s="57" t="s">
        <v>681</v>
      </c>
      <c r="C536" s="46">
        <v>5.5910476951730645</v>
      </c>
      <c r="D536" s="22">
        <v>122.82043691677997</v>
      </c>
      <c r="E536" s="34">
        <v>115.438783095643</v>
      </c>
      <c r="F536" s="35">
        <v>125.19435341947</v>
      </c>
      <c r="G536" s="35">
        <v>130.645157926678</v>
      </c>
      <c r="H536" s="35">
        <v>143.80257449272901</v>
      </c>
      <c r="I536" s="35">
        <v>159.39329490004999</v>
      </c>
      <c r="J536" s="35">
        <v>160.372824386926</v>
      </c>
      <c r="K536" s="35">
        <v>160.310221580508</v>
      </c>
      <c r="L536" s="35">
        <v>164.71911920537599</v>
      </c>
      <c r="M536" s="69">
        <v>178.11123162244201</v>
      </c>
      <c r="Q536" s="52" t="str">
        <f t="shared" si="8"/>
        <v/>
      </c>
    </row>
    <row r="537" spans="1:17" x14ac:dyDescent="0.3">
      <c r="A537" s="40"/>
      <c r="B537" s="57"/>
      <c r="C537" s="46" t="s">
        <v>716</v>
      </c>
      <c r="D537" s="22" t="s">
        <v>716</v>
      </c>
      <c r="E537" s="34"/>
      <c r="F537" s="35"/>
      <c r="G537" s="35"/>
      <c r="H537" s="35"/>
      <c r="I537" s="35"/>
      <c r="J537" s="35"/>
      <c r="K537" s="35"/>
      <c r="L537" s="35"/>
      <c r="M537" s="69"/>
      <c r="Q537" s="52" t="str">
        <f t="shared" si="8"/>
        <v/>
      </c>
    </row>
    <row r="538" spans="1:17" x14ac:dyDescent="0.3">
      <c r="A538" s="66" t="s">
        <v>2</v>
      </c>
      <c r="B538" s="56" t="s">
        <v>682</v>
      </c>
      <c r="C538" s="47">
        <v>123.26642139435241</v>
      </c>
      <c r="D538" s="49">
        <v>129.64001356639631</v>
      </c>
      <c r="E538" s="34">
        <v>129.90744308172901</v>
      </c>
      <c r="F538" s="35">
        <v>130.73238489499099</v>
      </c>
      <c r="G538" s="35">
        <v>131.48176127132899</v>
      </c>
      <c r="H538" s="35">
        <v>132.88353140885101</v>
      </c>
      <c r="I538" s="35">
        <v>136.64934655634701</v>
      </c>
      <c r="J538" s="35">
        <v>137.03349194182701</v>
      </c>
      <c r="K538" s="35">
        <v>135.42649442872101</v>
      </c>
      <c r="L538" s="35">
        <v>135.76884212375401</v>
      </c>
      <c r="M538" s="69">
        <v>137.14026491219599</v>
      </c>
      <c r="Q538" s="52" t="str">
        <f t="shared" si="8"/>
        <v/>
      </c>
    </row>
    <row r="539" spans="1:17" x14ac:dyDescent="0.3">
      <c r="A539" s="39"/>
      <c r="B539" s="60"/>
      <c r="C539" s="47" t="s">
        <v>716</v>
      </c>
      <c r="D539" s="49" t="s">
        <v>716</v>
      </c>
      <c r="E539" s="34"/>
      <c r="F539" s="35"/>
      <c r="G539" s="35"/>
      <c r="H539" s="35"/>
      <c r="I539" s="35"/>
      <c r="J539" s="35"/>
      <c r="K539" s="35"/>
      <c r="L539" s="35"/>
      <c r="M539" s="69"/>
      <c r="Q539" s="52" t="str">
        <f t="shared" si="8"/>
        <v/>
      </c>
    </row>
    <row r="540" spans="1:17" x14ac:dyDescent="0.3">
      <c r="B540" s="55" t="s">
        <v>683</v>
      </c>
      <c r="C540" s="47" t="s">
        <v>716</v>
      </c>
      <c r="D540" s="49" t="s">
        <v>716</v>
      </c>
      <c r="E540" s="34"/>
      <c r="F540" s="35"/>
      <c r="G540" s="35"/>
      <c r="H540" s="35"/>
      <c r="I540" s="35"/>
      <c r="J540" s="35"/>
      <c r="K540" s="35"/>
      <c r="L540" s="35"/>
      <c r="M540" s="69"/>
      <c r="Q540" s="52" t="str">
        <f t="shared" si="8"/>
        <v/>
      </c>
    </row>
    <row r="541" spans="1:17" x14ac:dyDescent="0.3">
      <c r="A541" s="40"/>
      <c r="B541" s="57"/>
      <c r="C541" s="46" t="s">
        <v>716</v>
      </c>
      <c r="D541" s="22" t="s">
        <v>716</v>
      </c>
      <c r="E541" s="34"/>
      <c r="F541" s="35"/>
      <c r="G541" s="35"/>
      <c r="H541" s="35"/>
      <c r="I541" s="35"/>
      <c r="J541" s="35"/>
      <c r="K541" s="35"/>
      <c r="L541" s="35"/>
      <c r="M541" s="69"/>
      <c r="Q541" s="52" t="str">
        <f t="shared" si="8"/>
        <v/>
      </c>
    </row>
    <row r="542" spans="1:17" x14ac:dyDescent="0.3">
      <c r="A542" s="40" t="s">
        <v>157</v>
      </c>
      <c r="B542" s="57" t="s">
        <v>684</v>
      </c>
      <c r="C542" s="46">
        <v>5.8333809196115691</v>
      </c>
      <c r="D542" s="22">
        <v>128.93286000000001</v>
      </c>
      <c r="E542" s="34">
        <v>137.95816020000001</v>
      </c>
      <c r="F542" s="35">
        <v>137.95816020000001</v>
      </c>
      <c r="G542" s="35">
        <v>137.95816020000001</v>
      </c>
      <c r="H542" s="35">
        <v>137.95816020000001</v>
      </c>
      <c r="I542" s="35">
        <v>137.95816020000001</v>
      </c>
      <c r="J542" s="35">
        <v>137.95816020000001</v>
      </c>
      <c r="K542" s="35">
        <v>137.95816020000001</v>
      </c>
      <c r="L542" s="35">
        <v>137.95816020000001</v>
      </c>
      <c r="M542" s="69">
        <v>137.95816020000001</v>
      </c>
      <c r="Q542" s="52" t="str">
        <f t="shared" si="8"/>
        <v/>
      </c>
    </row>
    <row r="543" spans="1:17" x14ac:dyDescent="0.3">
      <c r="A543" s="40" t="s">
        <v>158</v>
      </c>
      <c r="B543" s="57" t="s">
        <v>685</v>
      </c>
      <c r="C543" s="46">
        <v>0.49974447130628685</v>
      </c>
      <c r="D543" s="22"/>
      <c r="E543" s="34">
        <v>100</v>
      </c>
      <c r="F543" s="35">
        <v>100</v>
      </c>
      <c r="G543" s="35">
        <v>100</v>
      </c>
      <c r="H543" s="35">
        <v>102.77</v>
      </c>
      <c r="I543" s="35">
        <v>102.77</v>
      </c>
      <c r="J543" s="35">
        <v>102.77</v>
      </c>
      <c r="K543" s="35">
        <v>102.77</v>
      </c>
      <c r="L543" s="35">
        <v>102.77</v>
      </c>
      <c r="M543" s="69">
        <v>102.77</v>
      </c>
      <c r="Q543" s="52" t="str">
        <f t="shared" si="8"/>
        <v/>
      </c>
    </row>
    <row r="544" spans="1:17" x14ac:dyDescent="0.3">
      <c r="A544" s="41"/>
      <c r="B544" s="57"/>
      <c r="C544" s="46" t="s">
        <v>716</v>
      </c>
      <c r="D544" s="22" t="s">
        <v>716</v>
      </c>
      <c r="E544" s="34"/>
      <c r="F544" s="35"/>
      <c r="G544" s="35"/>
      <c r="H544" s="35"/>
      <c r="I544" s="35"/>
      <c r="J544" s="35"/>
      <c r="K544" s="35"/>
      <c r="L544" s="35"/>
      <c r="M544" s="69"/>
      <c r="Q544" s="52" t="str">
        <f t="shared" si="8"/>
        <v/>
      </c>
    </row>
    <row r="545" spans="1:17" x14ac:dyDescent="0.3">
      <c r="A545" s="40" t="s">
        <v>332</v>
      </c>
      <c r="B545" s="57" t="s">
        <v>686</v>
      </c>
      <c r="C545" s="46">
        <v>12.329886937649288</v>
      </c>
      <c r="D545" s="22">
        <v>105.38288351358422</v>
      </c>
      <c r="E545" s="34">
        <v>105.38288351358401</v>
      </c>
      <c r="F545" s="35">
        <v>105.38288351358401</v>
      </c>
      <c r="G545" s="35">
        <v>105.38288351358401</v>
      </c>
      <c r="H545" s="35">
        <v>107.386576923135</v>
      </c>
      <c r="I545" s="35">
        <v>107.386576923135</v>
      </c>
      <c r="J545" s="35">
        <v>107.386576923135</v>
      </c>
      <c r="K545" s="35">
        <v>107.386576923135</v>
      </c>
      <c r="L545" s="35">
        <v>107.386576923135</v>
      </c>
      <c r="M545" s="69">
        <v>107.386576923135</v>
      </c>
      <c r="Q545" s="52" t="str">
        <f t="shared" si="8"/>
        <v/>
      </c>
    </row>
    <row r="546" spans="1:17" x14ac:dyDescent="0.3">
      <c r="A546" s="41" t="s">
        <v>333</v>
      </c>
      <c r="B546" s="57" t="s">
        <v>687</v>
      </c>
      <c r="C546" s="46">
        <v>0.23442777994325681</v>
      </c>
      <c r="D546" s="22">
        <v>104.56396049788353</v>
      </c>
      <c r="E546" s="34">
        <v>104.563960497884</v>
      </c>
      <c r="F546" s="35">
        <v>104.563960497884</v>
      </c>
      <c r="G546" s="35">
        <v>104.563960497884</v>
      </c>
      <c r="H546" s="35">
        <v>105.923291984356</v>
      </c>
      <c r="I546" s="35">
        <v>105.923291984356</v>
      </c>
      <c r="J546" s="35">
        <v>105.923291984356</v>
      </c>
      <c r="K546" s="35">
        <v>105.923291984356</v>
      </c>
      <c r="L546" s="35">
        <v>105.923291984356</v>
      </c>
      <c r="M546" s="69">
        <v>105.923291984356</v>
      </c>
      <c r="Q546" s="52" t="str">
        <f t="shared" si="8"/>
        <v/>
      </c>
    </row>
    <row r="547" spans="1:17" x14ac:dyDescent="0.3">
      <c r="A547" s="42"/>
      <c r="B547" s="59"/>
      <c r="C547" s="46" t="s">
        <v>716</v>
      </c>
      <c r="D547" s="22" t="s">
        <v>716</v>
      </c>
      <c r="E547" s="34"/>
      <c r="F547" s="35"/>
      <c r="G547" s="35"/>
      <c r="H547" s="35"/>
      <c r="I547" s="35"/>
      <c r="J547" s="35"/>
      <c r="K547" s="35"/>
      <c r="L547" s="35"/>
      <c r="M547" s="69"/>
      <c r="Q547" s="52" t="str">
        <f t="shared" si="8"/>
        <v/>
      </c>
    </row>
    <row r="548" spans="1:17" x14ac:dyDescent="0.3">
      <c r="A548" s="43" t="s">
        <v>334</v>
      </c>
      <c r="B548" s="59" t="s">
        <v>688</v>
      </c>
      <c r="C548" s="46">
        <v>12.564314717592545</v>
      </c>
      <c r="D548" s="22">
        <v>105.36230573635093</v>
      </c>
      <c r="E548" s="34">
        <v>105.362305736351</v>
      </c>
      <c r="F548" s="35">
        <v>105.362305736351</v>
      </c>
      <c r="G548" s="35">
        <v>105.362305736351</v>
      </c>
      <c r="H548" s="35">
        <v>107.353786187233</v>
      </c>
      <c r="I548" s="35">
        <v>107.353786187233</v>
      </c>
      <c r="J548" s="35">
        <v>107.353786187233</v>
      </c>
      <c r="K548" s="35">
        <v>107.353786187233</v>
      </c>
      <c r="L548" s="35">
        <v>107.353786187233</v>
      </c>
      <c r="M548" s="69">
        <v>107.353786187233</v>
      </c>
      <c r="Q548" s="52" t="str">
        <f t="shared" si="8"/>
        <v/>
      </c>
    </row>
    <row r="549" spans="1:17" x14ac:dyDescent="0.3">
      <c r="A549" s="40"/>
      <c r="B549" s="57"/>
      <c r="C549" s="46" t="s">
        <v>716</v>
      </c>
      <c r="D549" s="22" t="s">
        <v>716</v>
      </c>
      <c r="E549" s="34"/>
      <c r="F549" s="35"/>
      <c r="G549" s="35"/>
      <c r="H549" s="35"/>
      <c r="I549" s="35"/>
      <c r="J549" s="35"/>
      <c r="K549" s="35"/>
      <c r="L549" s="35"/>
      <c r="M549" s="69"/>
      <c r="Q549" s="52" t="str">
        <f t="shared" si="8"/>
        <v/>
      </c>
    </row>
    <row r="550" spans="1:17" x14ac:dyDescent="0.3">
      <c r="A550" s="41" t="s">
        <v>159</v>
      </c>
      <c r="B550" s="57" t="s">
        <v>689</v>
      </c>
      <c r="C550" s="46">
        <v>18.897440108510402</v>
      </c>
      <c r="D550" s="22">
        <v>111.68091926136614</v>
      </c>
      <c r="E550" s="34">
        <v>114.094125165626</v>
      </c>
      <c r="F550" s="35">
        <v>114.094125165626</v>
      </c>
      <c r="G550" s="35">
        <v>114.094125165626</v>
      </c>
      <c r="H550" s="35">
        <v>115.57941260972601</v>
      </c>
      <c r="I550" s="35">
        <v>115.57941260972601</v>
      </c>
      <c r="J550" s="35">
        <v>115.57941260972601</v>
      </c>
      <c r="K550" s="35">
        <v>115.57941260972601</v>
      </c>
      <c r="L550" s="35">
        <v>115.57941260972601</v>
      </c>
      <c r="M550" s="69">
        <v>115.57941260972601</v>
      </c>
      <c r="Q550" s="52" t="str">
        <f t="shared" si="8"/>
        <v/>
      </c>
    </row>
    <row r="551" spans="1:17" x14ac:dyDescent="0.3">
      <c r="A551" s="40"/>
      <c r="B551" s="57"/>
      <c r="C551" s="46" t="s">
        <v>716</v>
      </c>
      <c r="D551" s="22" t="s">
        <v>716</v>
      </c>
      <c r="E551" s="34"/>
      <c r="F551" s="35"/>
      <c r="G551" s="35"/>
      <c r="H551" s="35"/>
      <c r="I551" s="35"/>
      <c r="J551" s="35"/>
      <c r="K551" s="35"/>
      <c r="L551" s="35"/>
      <c r="M551" s="69"/>
      <c r="Q551" s="52" t="str">
        <f t="shared" si="8"/>
        <v/>
      </c>
    </row>
    <row r="552" spans="1:17" x14ac:dyDescent="0.3">
      <c r="A552" s="40" t="s">
        <v>335</v>
      </c>
      <c r="B552" s="57" t="s">
        <v>690</v>
      </c>
      <c r="C552" s="46">
        <v>0.15900960450654592</v>
      </c>
      <c r="D552" s="22">
        <v>100.00000000000004</v>
      </c>
      <c r="E552" s="34">
        <v>100</v>
      </c>
      <c r="F552" s="35">
        <v>100</v>
      </c>
      <c r="G552" s="35">
        <v>100</v>
      </c>
      <c r="H552" s="35">
        <v>100</v>
      </c>
      <c r="I552" s="35">
        <v>100</v>
      </c>
      <c r="J552" s="35">
        <v>100</v>
      </c>
      <c r="K552" s="35">
        <v>100</v>
      </c>
      <c r="L552" s="35">
        <v>100</v>
      </c>
      <c r="M552" s="69">
        <v>100</v>
      </c>
      <c r="Q552" s="52" t="str">
        <f t="shared" si="8"/>
        <v/>
      </c>
    </row>
    <row r="553" spans="1:17" x14ac:dyDescent="0.3">
      <c r="A553" s="41"/>
      <c r="B553" s="57"/>
      <c r="C553" s="46" t="s">
        <v>716</v>
      </c>
      <c r="D553" s="22" t="s">
        <v>716</v>
      </c>
      <c r="E553" s="34"/>
      <c r="F553" s="35"/>
      <c r="G553" s="35"/>
      <c r="H553" s="35"/>
      <c r="I553" s="35"/>
      <c r="J553" s="35"/>
      <c r="K553" s="35"/>
      <c r="L553" s="35"/>
      <c r="M553" s="69"/>
      <c r="Q553" s="52" t="str">
        <f t="shared" si="8"/>
        <v/>
      </c>
    </row>
    <row r="554" spans="1:17" x14ac:dyDescent="0.3">
      <c r="A554" s="40" t="s">
        <v>336</v>
      </c>
      <c r="B554" s="57" t="s">
        <v>691</v>
      </c>
      <c r="C554" s="46">
        <v>6.3251671197636528E-2</v>
      </c>
      <c r="D554" s="22">
        <v>101.43988801461896</v>
      </c>
      <c r="E554" s="34">
        <v>101.439888014619</v>
      </c>
      <c r="F554" s="35">
        <v>101.439888014619</v>
      </c>
      <c r="G554" s="35">
        <v>101.439888014619</v>
      </c>
      <c r="H554" s="35">
        <v>101.439888014619</v>
      </c>
      <c r="I554" s="35">
        <v>101.439888014619</v>
      </c>
      <c r="J554" s="35">
        <v>101.439888014619</v>
      </c>
      <c r="K554" s="35">
        <v>101.439888014619</v>
      </c>
      <c r="L554" s="35">
        <v>101.439888014619</v>
      </c>
      <c r="M554" s="69">
        <v>101.439888014619</v>
      </c>
      <c r="Q554" s="52" t="str">
        <f t="shared" si="8"/>
        <v/>
      </c>
    </row>
    <row r="555" spans="1:17" x14ac:dyDescent="0.3">
      <c r="A555" s="41"/>
      <c r="B555" s="57"/>
      <c r="C555" s="46" t="s">
        <v>716</v>
      </c>
      <c r="D555" s="22" t="s">
        <v>716</v>
      </c>
      <c r="E555" s="34"/>
      <c r="F555" s="35"/>
      <c r="G555" s="35"/>
      <c r="H555" s="35"/>
      <c r="I555" s="35"/>
      <c r="J555" s="35"/>
      <c r="K555" s="35"/>
      <c r="L555" s="35"/>
      <c r="M555" s="69"/>
      <c r="Q555" s="52" t="str">
        <f t="shared" si="8"/>
        <v/>
      </c>
    </row>
    <row r="556" spans="1:17" x14ac:dyDescent="0.3">
      <c r="A556" s="40" t="s">
        <v>337</v>
      </c>
      <c r="B556" s="57" t="s">
        <v>692</v>
      </c>
      <c r="C556" s="46">
        <v>6.3251671197636528E-2</v>
      </c>
      <c r="D556" s="22">
        <v>101.43988801461896</v>
      </c>
      <c r="E556" s="34">
        <v>101.439888014619</v>
      </c>
      <c r="F556" s="35">
        <v>101.439888014619</v>
      </c>
      <c r="G556" s="35">
        <v>101.439888014619</v>
      </c>
      <c r="H556" s="35">
        <v>101.439888014619</v>
      </c>
      <c r="I556" s="35">
        <v>101.439888014619</v>
      </c>
      <c r="J556" s="35">
        <v>101.439888014619</v>
      </c>
      <c r="K556" s="35">
        <v>101.439888014619</v>
      </c>
      <c r="L556" s="35">
        <v>101.439888014619</v>
      </c>
      <c r="M556" s="69">
        <v>101.439888014619</v>
      </c>
      <c r="Q556" s="52" t="str">
        <f t="shared" si="8"/>
        <v/>
      </c>
    </row>
    <row r="557" spans="1:17" x14ac:dyDescent="0.3">
      <c r="A557" s="41"/>
      <c r="B557" s="57"/>
      <c r="C557" s="46" t="s">
        <v>716</v>
      </c>
      <c r="D557" s="22" t="s">
        <v>716</v>
      </c>
      <c r="E557" s="34"/>
      <c r="F557" s="35"/>
      <c r="G557" s="35"/>
      <c r="H557" s="35"/>
      <c r="I557" s="35"/>
      <c r="J557" s="35"/>
      <c r="K557" s="35"/>
      <c r="L557" s="35"/>
      <c r="M557" s="69"/>
      <c r="Q557" s="52" t="str">
        <f t="shared" si="8"/>
        <v/>
      </c>
    </row>
    <row r="558" spans="1:17" x14ac:dyDescent="0.3">
      <c r="A558" s="40" t="s">
        <v>338</v>
      </c>
      <c r="B558" s="57" t="s">
        <v>693</v>
      </c>
      <c r="C558" s="46">
        <v>0.22226127570418244</v>
      </c>
      <c r="D558" s="22">
        <v>100.97184297643513</v>
      </c>
      <c r="E558" s="34">
        <v>100.971842976435</v>
      </c>
      <c r="F558" s="35">
        <v>100.971842976435</v>
      </c>
      <c r="G558" s="35">
        <v>100.971842976435</v>
      </c>
      <c r="H558" s="35">
        <v>100.971842976435</v>
      </c>
      <c r="I558" s="35">
        <v>100.971842976435</v>
      </c>
      <c r="J558" s="35">
        <v>100.971842976435</v>
      </c>
      <c r="K558" s="35">
        <v>100.971842976435</v>
      </c>
      <c r="L558" s="35">
        <v>100.971842976435</v>
      </c>
      <c r="M558" s="69">
        <v>100.971842976435</v>
      </c>
      <c r="Q558" s="52" t="str">
        <f t="shared" si="8"/>
        <v/>
      </c>
    </row>
    <row r="559" spans="1:17" x14ac:dyDescent="0.3">
      <c r="A559" s="40"/>
      <c r="B559" s="57"/>
      <c r="C559" s="46" t="s">
        <v>716</v>
      </c>
      <c r="D559" s="22" t="s">
        <v>716</v>
      </c>
      <c r="E559" s="34"/>
      <c r="F559" s="35"/>
      <c r="G559" s="35"/>
      <c r="H559" s="35"/>
      <c r="I559" s="35"/>
      <c r="J559" s="35"/>
      <c r="K559" s="35"/>
      <c r="L559" s="35"/>
      <c r="M559" s="69"/>
      <c r="Q559" s="52" t="str">
        <f t="shared" si="8"/>
        <v/>
      </c>
    </row>
    <row r="560" spans="1:17" x14ac:dyDescent="0.3">
      <c r="A560" s="41" t="s">
        <v>0</v>
      </c>
      <c r="B560" s="57" t="s">
        <v>694</v>
      </c>
      <c r="C560" s="46">
        <v>19.119701384214583</v>
      </c>
      <c r="D560" s="22">
        <v>111.57245802408642</v>
      </c>
      <c r="E560" s="34">
        <v>113.95529468193401</v>
      </c>
      <c r="F560" s="35">
        <v>113.95529468193401</v>
      </c>
      <c r="G560" s="35">
        <v>113.95529468193401</v>
      </c>
      <c r="H560" s="35">
        <v>115.421890368193</v>
      </c>
      <c r="I560" s="35">
        <v>115.421890368193</v>
      </c>
      <c r="J560" s="35">
        <v>115.421890368193</v>
      </c>
      <c r="K560" s="35">
        <v>115.421890368193</v>
      </c>
      <c r="L560" s="35">
        <v>115.421890368193</v>
      </c>
      <c r="M560" s="69">
        <v>115.421890368193</v>
      </c>
      <c r="Q560" s="52" t="str">
        <f t="shared" si="8"/>
        <v/>
      </c>
    </row>
    <row r="561" spans="1:17" x14ac:dyDescent="0.3">
      <c r="A561" s="40"/>
      <c r="B561" s="57"/>
      <c r="C561" s="46" t="s">
        <v>716</v>
      </c>
      <c r="D561" s="22" t="s">
        <v>716</v>
      </c>
      <c r="E561" s="34"/>
      <c r="F561" s="35"/>
      <c r="G561" s="35"/>
      <c r="H561" s="35"/>
      <c r="I561" s="35"/>
      <c r="J561" s="35"/>
      <c r="K561" s="35"/>
      <c r="L561" s="35"/>
      <c r="M561" s="69"/>
      <c r="Q561" s="52" t="str">
        <f t="shared" si="8"/>
        <v/>
      </c>
    </row>
    <row r="562" spans="1:17" x14ac:dyDescent="0.3">
      <c r="B562" s="55" t="s">
        <v>695</v>
      </c>
      <c r="C562" s="46" t="s">
        <v>716</v>
      </c>
      <c r="D562" s="22" t="s">
        <v>716</v>
      </c>
      <c r="E562" s="34"/>
      <c r="F562" s="35"/>
      <c r="G562" s="35"/>
      <c r="H562" s="35"/>
      <c r="I562" s="35"/>
      <c r="J562" s="35"/>
      <c r="K562" s="35"/>
      <c r="L562" s="35"/>
      <c r="M562" s="69"/>
      <c r="Q562" s="52" t="str">
        <f t="shared" si="8"/>
        <v/>
      </c>
    </row>
    <row r="563" spans="1:17" x14ac:dyDescent="0.3">
      <c r="A563" s="40"/>
      <c r="B563" s="57"/>
      <c r="C563" s="46" t="s">
        <v>716</v>
      </c>
      <c r="D563" s="22" t="s">
        <v>716</v>
      </c>
      <c r="E563" s="34"/>
      <c r="F563" s="35"/>
      <c r="G563" s="35"/>
      <c r="H563" s="35"/>
      <c r="I563" s="35"/>
      <c r="J563" s="35"/>
      <c r="K563" s="35"/>
      <c r="L563" s="35"/>
      <c r="M563" s="69"/>
      <c r="Q563" s="52" t="str">
        <f t="shared" si="8"/>
        <v/>
      </c>
    </row>
    <row r="564" spans="1:17" x14ac:dyDescent="0.3">
      <c r="A564" s="40" t="s">
        <v>339</v>
      </c>
      <c r="B564" s="57" t="s">
        <v>696</v>
      </c>
      <c r="C564" s="46">
        <v>0.39167728656628575</v>
      </c>
      <c r="D564" s="22">
        <v>95.746969088254986</v>
      </c>
      <c r="E564" s="34">
        <v>96.453482432615303</v>
      </c>
      <c r="F564" s="35">
        <v>96.452249506270107</v>
      </c>
      <c r="G564" s="35">
        <v>97.564800850483905</v>
      </c>
      <c r="H564" s="35">
        <v>96.115164583039601</v>
      </c>
      <c r="I564" s="35">
        <v>94.971965530361103</v>
      </c>
      <c r="J564" s="35">
        <v>98.422371968351101</v>
      </c>
      <c r="K564" s="35">
        <v>96.791632084449802</v>
      </c>
      <c r="L564" s="35">
        <v>97.047074293453505</v>
      </c>
      <c r="M564" s="69">
        <v>98.134779899379197</v>
      </c>
      <c r="Q564" s="52" t="str">
        <f t="shared" si="8"/>
        <v/>
      </c>
    </row>
    <row r="565" spans="1:17" x14ac:dyDescent="0.3">
      <c r="A565" s="40"/>
      <c r="B565" s="57"/>
      <c r="C565" s="46" t="s">
        <v>716</v>
      </c>
      <c r="D565" s="22" t="s">
        <v>716</v>
      </c>
      <c r="E565" s="34"/>
      <c r="F565" s="35"/>
      <c r="G565" s="35"/>
      <c r="H565" s="35"/>
      <c r="I565" s="35"/>
      <c r="J565" s="35"/>
      <c r="K565" s="35"/>
      <c r="L565" s="35"/>
      <c r="M565" s="69"/>
      <c r="Q565" s="52" t="str">
        <f t="shared" si="8"/>
        <v/>
      </c>
    </row>
    <row r="566" spans="1:17" x14ac:dyDescent="0.3">
      <c r="A566" s="41" t="s">
        <v>340</v>
      </c>
      <c r="B566" s="57" t="s">
        <v>696</v>
      </c>
      <c r="C566" s="46">
        <v>0.39167728656628575</v>
      </c>
      <c r="D566" s="22">
        <v>95.746969088254986</v>
      </c>
      <c r="E566" s="34">
        <v>96.453482432615303</v>
      </c>
      <c r="F566" s="35">
        <v>96.452249506270107</v>
      </c>
      <c r="G566" s="35">
        <v>97.564800850483905</v>
      </c>
      <c r="H566" s="35">
        <v>96.115164583039601</v>
      </c>
      <c r="I566" s="35">
        <v>94.971965530361103</v>
      </c>
      <c r="J566" s="35">
        <v>98.422371968351101</v>
      </c>
      <c r="K566" s="35">
        <v>96.791632084449802</v>
      </c>
      <c r="L566" s="35">
        <v>97.047074293453505</v>
      </c>
      <c r="M566" s="69">
        <v>98.134779899379197</v>
      </c>
      <c r="Q566" s="52" t="str">
        <f t="shared" si="8"/>
        <v/>
      </c>
    </row>
    <row r="567" spans="1:17" x14ac:dyDescent="0.3">
      <c r="A567" s="40"/>
      <c r="B567" s="57"/>
      <c r="C567" s="46" t="s">
        <v>716</v>
      </c>
      <c r="D567" s="22" t="s">
        <v>716</v>
      </c>
      <c r="E567" s="34"/>
      <c r="F567" s="35"/>
      <c r="G567" s="35"/>
      <c r="H567" s="35"/>
      <c r="I567" s="35"/>
      <c r="J567" s="35"/>
      <c r="K567" s="35"/>
      <c r="L567" s="35"/>
      <c r="M567" s="69"/>
      <c r="Q567" s="52" t="str">
        <f t="shared" si="8"/>
        <v/>
      </c>
    </row>
    <row r="568" spans="1:17" x14ac:dyDescent="0.3">
      <c r="A568" s="41" t="s">
        <v>341</v>
      </c>
      <c r="B568" s="57" t="s">
        <v>697</v>
      </c>
      <c r="C568" s="46">
        <v>24.959460768352542</v>
      </c>
      <c r="D568" s="22">
        <v>101.03726867403033</v>
      </c>
      <c r="E568" s="34">
        <v>100.08200791930901</v>
      </c>
      <c r="F568" s="35">
        <v>100.76284262548501</v>
      </c>
      <c r="G568" s="35">
        <v>101.30314908435101</v>
      </c>
      <c r="H568" s="35">
        <v>100.82083136724199</v>
      </c>
      <c r="I568" s="35">
        <v>101.059897718421</v>
      </c>
      <c r="J568" s="35">
        <v>101.59873262879501</v>
      </c>
      <c r="K568" s="35">
        <v>99.448313060572403</v>
      </c>
      <c r="L568" s="35">
        <v>100.735169348865</v>
      </c>
      <c r="M568" s="69">
        <v>101.154798057772</v>
      </c>
      <c r="Q568" s="52" t="str">
        <f t="shared" si="8"/>
        <v/>
      </c>
    </row>
    <row r="569" spans="1:17" x14ac:dyDescent="0.3">
      <c r="A569" s="40"/>
      <c r="B569" s="57"/>
      <c r="C569" s="46" t="s">
        <v>716</v>
      </c>
      <c r="D569" s="22" t="s">
        <v>716</v>
      </c>
      <c r="E569" s="34"/>
      <c r="F569" s="35"/>
      <c r="G569" s="35"/>
      <c r="H569" s="35"/>
      <c r="I569" s="35"/>
      <c r="J569" s="35"/>
      <c r="K569" s="35"/>
      <c r="L569" s="35"/>
      <c r="M569" s="69"/>
      <c r="Q569" s="52" t="str">
        <f t="shared" si="8"/>
        <v/>
      </c>
    </row>
    <row r="570" spans="1:17" x14ac:dyDescent="0.3">
      <c r="A570" s="41" t="s">
        <v>342</v>
      </c>
      <c r="B570" s="57" t="s">
        <v>698</v>
      </c>
      <c r="C570" s="46">
        <v>9.9506147019340609</v>
      </c>
      <c r="D570" s="22">
        <v>117.05778851096603</v>
      </c>
      <c r="E570" s="34">
        <v>117.565055206091</v>
      </c>
      <c r="F570" s="35">
        <v>118.45260498297399</v>
      </c>
      <c r="G570" s="35">
        <v>118.53093483372599</v>
      </c>
      <c r="H570" s="35">
        <v>118.53093483372599</v>
      </c>
      <c r="I570" s="35">
        <v>119.086383485274</v>
      </c>
      <c r="J570" s="35">
        <v>119.318626320992</v>
      </c>
      <c r="K570" s="35">
        <v>119.844563107035</v>
      </c>
      <c r="L570" s="35">
        <v>119.844563107035</v>
      </c>
      <c r="M570" s="69">
        <v>120.01146766599901</v>
      </c>
      <c r="Q570" s="52" t="str">
        <f t="shared" si="8"/>
        <v/>
      </c>
    </row>
    <row r="571" spans="1:17" x14ac:dyDescent="0.3">
      <c r="A571" s="40" t="s">
        <v>343</v>
      </c>
      <c r="B571" s="57" t="s">
        <v>699</v>
      </c>
      <c r="C571" s="46">
        <v>2.4605860641427468</v>
      </c>
      <c r="D571" s="22">
        <v>111.2249312958446</v>
      </c>
      <c r="E571" s="34">
        <v>110.677677580248</v>
      </c>
      <c r="F571" s="35">
        <v>110.892373403547</v>
      </c>
      <c r="G571" s="35">
        <v>112.104115855771</v>
      </c>
      <c r="H571" s="35">
        <v>112.77382135553199</v>
      </c>
      <c r="I571" s="35">
        <v>114.334182304471</v>
      </c>
      <c r="J571" s="35">
        <v>114.681457195524</v>
      </c>
      <c r="K571" s="35">
        <v>115.436386988786</v>
      </c>
      <c r="L571" s="35">
        <v>115.436386988786</v>
      </c>
      <c r="M571" s="69">
        <v>115.571743268649</v>
      </c>
      <c r="Q571" s="52" t="str">
        <f t="shared" si="8"/>
        <v/>
      </c>
    </row>
    <row r="572" spans="1:17" x14ac:dyDescent="0.3">
      <c r="A572" s="40"/>
      <c r="B572" s="57"/>
      <c r="C572" s="46" t="s">
        <v>716</v>
      </c>
      <c r="D572" s="22" t="s">
        <v>716</v>
      </c>
      <c r="E572" s="34"/>
      <c r="F572" s="35"/>
      <c r="G572" s="35"/>
      <c r="H572" s="35"/>
      <c r="I572" s="35"/>
      <c r="J572" s="35"/>
      <c r="K572" s="35"/>
      <c r="L572" s="35"/>
      <c r="M572" s="69"/>
      <c r="Q572" s="52" t="str">
        <f t="shared" si="8"/>
        <v/>
      </c>
    </row>
    <row r="573" spans="1:17" x14ac:dyDescent="0.3">
      <c r="A573" s="40" t="s">
        <v>344</v>
      </c>
      <c r="B573" s="57" t="s">
        <v>700</v>
      </c>
      <c r="C573" s="46">
        <v>12.411200766076808</v>
      </c>
      <c r="D573" s="22">
        <v>116.07596104952856</v>
      </c>
      <c r="E573" s="34">
        <v>116.366020300077</v>
      </c>
      <c r="F573" s="35">
        <v>117.116061186472</v>
      </c>
      <c r="G573" s="35">
        <v>117.429047047849</v>
      </c>
      <c r="H573" s="35">
        <v>117.567610522885</v>
      </c>
      <c r="I573" s="35">
        <v>118.332045297371</v>
      </c>
      <c r="J573" s="35">
        <v>118.588534913245</v>
      </c>
      <c r="K573" s="35">
        <v>119.162861764472</v>
      </c>
      <c r="L573" s="35">
        <v>119.162861764472</v>
      </c>
      <c r="M573" s="69">
        <v>119.32355973426201</v>
      </c>
      <c r="Q573" s="52" t="str">
        <f t="shared" si="8"/>
        <v/>
      </c>
    </row>
    <row r="574" spans="1:17" x14ac:dyDescent="0.3">
      <c r="A574" s="41"/>
      <c r="B574" s="57"/>
      <c r="C574" s="46" t="s">
        <v>716</v>
      </c>
      <c r="D574" s="22" t="s">
        <v>716</v>
      </c>
      <c r="E574" s="34"/>
      <c r="F574" s="35"/>
      <c r="G574" s="35"/>
      <c r="H574" s="35"/>
      <c r="I574" s="35"/>
      <c r="J574" s="35"/>
      <c r="K574" s="35"/>
      <c r="L574" s="35"/>
      <c r="M574" s="69"/>
      <c r="Q574" s="52" t="str">
        <f t="shared" si="8"/>
        <v/>
      </c>
    </row>
    <row r="575" spans="1:17" x14ac:dyDescent="0.3">
      <c r="A575" s="40" t="s">
        <v>345</v>
      </c>
      <c r="B575" s="57" t="s">
        <v>701</v>
      </c>
      <c r="C575" s="46">
        <v>37.762338820995637</v>
      </c>
      <c r="D575" s="22">
        <v>105.48322054154745</v>
      </c>
      <c r="E575" s="34">
        <v>104.918752718071</v>
      </c>
      <c r="F575" s="35">
        <v>105.612562939063</v>
      </c>
      <c r="G575" s="35">
        <v>106.091592728488</v>
      </c>
      <c r="H575" s="35">
        <v>105.7835916217</v>
      </c>
      <c r="I575" s="35">
        <v>106.163811268928</v>
      </c>
      <c r="J575" s="35">
        <v>106.651666118008</v>
      </c>
      <c r="K575" s="35">
        <v>105.320679174818</v>
      </c>
      <c r="L575" s="35">
        <v>106.211588229374</v>
      </c>
      <c r="M575" s="69">
        <v>106.561576614155</v>
      </c>
      <c r="Q575" s="52" t="str">
        <f t="shared" si="8"/>
        <v/>
      </c>
    </row>
    <row r="576" spans="1:17" x14ac:dyDescent="0.3">
      <c r="A576" s="41"/>
      <c r="B576" s="57"/>
      <c r="C576" s="46" t="s">
        <v>716</v>
      </c>
      <c r="D576" s="22" t="s">
        <v>716</v>
      </c>
      <c r="E576" s="34"/>
      <c r="F576" s="35"/>
      <c r="G576" s="35"/>
      <c r="H576" s="35"/>
      <c r="I576" s="35"/>
      <c r="J576" s="35"/>
      <c r="K576" s="35"/>
      <c r="L576" s="35"/>
      <c r="M576" s="69"/>
      <c r="Q576" s="52" t="str">
        <f t="shared" si="8"/>
        <v/>
      </c>
    </row>
    <row r="577" spans="1:17" x14ac:dyDescent="0.3">
      <c r="A577" s="40" t="s">
        <v>346</v>
      </c>
      <c r="B577" s="57" t="s">
        <v>702</v>
      </c>
      <c r="C577" s="46">
        <v>0.97737349604834767</v>
      </c>
      <c r="D577" s="22">
        <v>148.78634172626255</v>
      </c>
      <c r="E577" s="34">
        <v>149.96534150094899</v>
      </c>
      <c r="F577" s="35">
        <v>152.28506115403999</v>
      </c>
      <c r="G577" s="35">
        <v>155.43271101398699</v>
      </c>
      <c r="H577" s="35">
        <v>157.84113061506</v>
      </c>
      <c r="I577" s="35">
        <v>159.39853533847199</v>
      </c>
      <c r="J577" s="35">
        <v>159.02528598207499</v>
      </c>
      <c r="K577" s="35">
        <v>155.81161346026801</v>
      </c>
      <c r="L577" s="35">
        <v>156.69340124543299</v>
      </c>
      <c r="M577" s="69">
        <v>157.85941260313399</v>
      </c>
      <c r="Q577" s="52" t="str">
        <f t="shared" si="8"/>
        <v/>
      </c>
    </row>
    <row r="578" spans="1:17" x14ac:dyDescent="0.3">
      <c r="A578" s="41"/>
      <c r="B578" s="57"/>
      <c r="C578" s="46" t="s">
        <v>716</v>
      </c>
      <c r="D578" s="22" t="s">
        <v>716</v>
      </c>
      <c r="E578" s="34"/>
      <c r="F578" s="35"/>
      <c r="G578" s="35"/>
      <c r="H578" s="35"/>
      <c r="I578" s="35"/>
      <c r="J578" s="35"/>
      <c r="K578" s="35"/>
      <c r="L578" s="35"/>
      <c r="M578" s="69"/>
      <c r="Q578" s="52" t="str">
        <f t="shared" si="8"/>
        <v/>
      </c>
    </row>
    <row r="579" spans="1:17" x14ac:dyDescent="0.3">
      <c r="A579" s="42" t="s">
        <v>347</v>
      </c>
      <c r="B579" s="59" t="s">
        <v>702</v>
      </c>
      <c r="C579" s="46">
        <v>0.97737349604834767</v>
      </c>
      <c r="D579" s="22">
        <v>148.78634172626255</v>
      </c>
      <c r="E579" s="34">
        <v>149.96534150094899</v>
      </c>
      <c r="F579" s="35">
        <v>152.28506115403999</v>
      </c>
      <c r="G579" s="35">
        <v>155.43271101398699</v>
      </c>
      <c r="H579" s="35">
        <v>157.84113061506</v>
      </c>
      <c r="I579" s="35">
        <v>159.39853533847199</v>
      </c>
      <c r="J579" s="35">
        <v>159.02528598207499</v>
      </c>
      <c r="K579" s="35">
        <v>155.81161346026801</v>
      </c>
      <c r="L579" s="35">
        <v>156.69340124543299</v>
      </c>
      <c r="M579" s="69">
        <v>157.85941260313399</v>
      </c>
      <c r="Q579" s="52" t="str">
        <f t="shared" si="8"/>
        <v/>
      </c>
    </row>
    <row r="580" spans="1:17" x14ac:dyDescent="0.3">
      <c r="A580" s="41"/>
      <c r="B580" s="57"/>
      <c r="C580" s="46" t="s">
        <v>716</v>
      </c>
      <c r="D580" s="22"/>
      <c r="E580" s="34"/>
      <c r="F580" s="35"/>
      <c r="G580" s="35"/>
      <c r="H580" s="35"/>
      <c r="I580" s="35"/>
      <c r="J580" s="35"/>
      <c r="K580" s="35"/>
      <c r="L580" s="35"/>
      <c r="M580" s="69"/>
      <c r="Q580" s="52" t="str">
        <f t="shared" si="8"/>
        <v/>
      </c>
    </row>
    <row r="581" spans="1:17" x14ac:dyDescent="0.3">
      <c r="A581" s="40" t="s">
        <v>348</v>
      </c>
      <c r="B581" s="57" t="s">
        <v>703</v>
      </c>
      <c r="C581" s="46">
        <v>0.26690897899313054</v>
      </c>
      <c r="D581" s="22">
        <v>100</v>
      </c>
      <c r="E581" s="34">
        <v>101.460302885988</v>
      </c>
      <c r="F581" s="35">
        <v>102.055517282265</v>
      </c>
      <c r="G581" s="35">
        <v>102.055517282265</v>
      </c>
      <c r="H581" s="35">
        <v>102.029506620875</v>
      </c>
      <c r="I581" s="35">
        <v>104.352080349518</v>
      </c>
      <c r="J581" s="35">
        <v>105.736068470723</v>
      </c>
      <c r="K581" s="35">
        <v>107.659136076142</v>
      </c>
      <c r="L581" s="35">
        <v>107.78579498367699</v>
      </c>
      <c r="M581" s="69">
        <v>108.446368064018</v>
      </c>
      <c r="Q581" s="52" t="str">
        <f t="shared" si="8"/>
        <v/>
      </c>
    </row>
    <row r="582" spans="1:17" x14ac:dyDescent="0.3">
      <c r="A582" s="41"/>
      <c r="B582" s="57"/>
      <c r="C582" s="46" t="s">
        <v>716</v>
      </c>
      <c r="D582" s="22" t="s">
        <v>716</v>
      </c>
      <c r="E582" s="34"/>
      <c r="F582" s="35"/>
      <c r="G582" s="35"/>
      <c r="H582" s="35"/>
      <c r="I582" s="35"/>
      <c r="J582" s="35"/>
      <c r="K582" s="35"/>
      <c r="L582" s="35"/>
      <c r="M582" s="69"/>
      <c r="Q582" s="52" t="str">
        <f t="shared" si="8"/>
        <v/>
      </c>
    </row>
    <row r="583" spans="1:17" x14ac:dyDescent="0.3">
      <c r="A583" s="40" t="s">
        <v>349</v>
      </c>
      <c r="B583" s="57" t="s">
        <v>704</v>
      </c>
      <c r="C583" s="46">
        <v>3.8453865938687115</v>
      </c>
      <c r="D583" s="22">
        <v>108.07323887382918</v>
      </c>
      <c r="E583" s="34">
        <v>102.888047698759</v>
      </c>
      <c r="F583" s="35">
        <v>103.229861229894</v>
      </c>
      <c r="G583" s="35">
        <v>105.943558860132</v>
      </c>
      <c r="H583" s="35">
        <v>105.90633636864899</v>
      </c>
      <c r="I583" s="35">
        <v>106.32655033497301</v>
      </c>
      <c r="J583" s="35">
        <v>106.329911038329</v>
      </c>
      <c r="K583" s="35">
        <v>102.779662663924</v>
      </c>
      <c r="L583" s="35">
        <v>101.528258804019</v>
      </c>
      <c r="M583" s="69">
        <v>106.809296527431</v>
      </c>
      <c r="Q583" s="52" t="str">
        <f t="shared" si="8"/>
        <v/>
      </c>
    </row>
    <row r="584" spans="1:17" x14ac:dyDescent="0.3">
      <c r="A584" s="40"/>
      <c r="B584" s="57"/>
      <c r="C584" s="46" t="s">
        <v>716</v>
      </c>
      <c r="D584" s="22" t="s">
        <v>716</v>
      </c>
      <c r="E584" s="34"/>
      <c r="F584" s="35"/>
      <c r="G584" s="35"/>
      <c r="H584" s="35"/>
      <c r="I584" s="35"/>
      <c r="J584" s="35"/>
      <c r="K584" s="35"/>
      <c r="L584" s="35"/>
      <c r="M584" s="69"/>
      <c r="Q584" s="52" t="str">
        <f t="shared" ref="Q584:Q628" si="9">IF(P584="","",AVERAGE(E584:P584))</f>
        <v/>
      </c>
    </row>
    <row r="585" spans="1:17" x14ac:dyDescent="0.3">
      <c r="A585" s="41" t="s">
        <v>350</v>
      </c>
      <c r="B585" s="57" t="s">
        <v>705</v>
      </c>
      <c r="C585" s="46">
        <v>3.8453865938687115</v>
      </c>
      <c r="D585" s="22">
        <v>108.07323887382918</v>
      </c>
      <c r="E585" s="34">
        <v>102.888047698759</v>
      </c>
      <c r="F585" s="35">
        <v>103.229861229894</v>
      </c>
      <c r="G585" s="35">
        <v>105.943558860132</v>
      </c>
      <c r="H585" s="35">
        <v>105.90633636864899</v>
      </c>
      <c r="I585" s="35">
        <v>106.32655033497301</v>
      </c>
      <c r="J585" s="35">
        <v>106.329911038329</v>
      </c>
      <c r="K585" s="35">
        <v>102.779662663924</v>
      </c>
      <c r="L585" s="35">
        <v>101.528258804019</v>
      </c>
      <c r="M585" s="69">
        <v>106.809296527431</v>
      </c>
      <c r="Q585" s="52" t="str">
        <f t="shared" si="9"/>
        <v/>
      </c>
    </row>
    <row r="586" spans="1:17" x14ac:dyDescent="0.3">
      <c r="A586" s="40"/>
      <c r="B586" s="57"/>
      <c r="C586" s="46" t="s">
        <v>716</v>
      </c>
      <c r="D586" s="22" t="s">
        <v>716</v>
      </c>
      <c r="E586" s="34"/>
      <c r="F586" s="35"/>
      <c r="G586" s="35"/>
      <c r="H586" s="35"/>
      <c r="I586" s="35"/>
      <c r="J586" s="35"/>
      <c r="K586" s="35"/>
      <c r="L586" s="35"/>
      <c r="M586" s="69"/>
      <c r="Q586" s="52" t="str">
        <f t="shared" si="9"/>
        <v/>
      </c>
    </row>
    <row r="587" spans="1:17" x14ac:dyDescent="0.3">
      <c r="A587" s="41" t="s">
        <v>351</v>
      </c>
      <c r="B587" s="57" t="s">
        <v>706</v>
      </c>
      <c r="C587" s="46">
        <v>5.0896690689101902</v>
      </c>
      <c r="D587" s="22">
        <v>111.73771371315577</v>
      </c>
      <c r="E587" s="34">
        <v>107.942921018693</v>
      </c>
      <c r="F587" s="35">
        <v>108.57934111239</v>
      </c>
      <c r="G587" s="35">
        <v>111.153069988819</v>
      </c>
      <c r="H587" s="35">
        <v>111.46979772597901</v>
      </c>
      <c r="I587" s="35">
        <v>112.158741041716</v>
      </c>
      <c r="J587" s="35">
        <v>112.188635605898</v>
      </c>
      <c r="K587" s="35">
        <v>109.064602752307</v>
      </c>
      <c r="L587" s="35">
        <v>108.221661972278</v>
      </c>
      <c r="M587" s="69">
        <v>112.553784871283</v>
      </c>
      <c r="Q587" s="52" t="str">
        <f t="shared" si="9"/>
        <v/>
      </c>
    </row>
    <row r="588" spans="1:17" x14ac:dyDescent="0.3">
      <c r="A588" s="40"/>
      <c r="B588" s="57"/>
      <c r="C588" s="46" t="s">
        <v>716</v>
      </c>
      <c r="D588" s="22" t="s">
        <v>716</v>
      </c>
      <c r="E588" s="34"/>
      <c r="F588" s="35"/>
      <c r="G588" s="35"/>
      <c r="H588" s="35"/>
      <c r="I588" s="35"/>
      <c r="J588" s="35"/>
      <c r="K588" s="35"/>
      <c r="L588" s="35"/>
      <c r="M588" s="69"/>
      <c r="Q588" s="52" t="str">
        <f t="shared" si="9"/>
        <v/>
      </c>
    </row>
    <row r="589" spans="1:17" x14ac:dyDescent="0.3">
      <c r="A589" s="41" t="s">
        <v>352</v>
      </c>
      <c r="B589" s="57" t="s">
        <v>707</v>
      </c>
      <c r="C589" s="46">
        <v>0.34679295225695755</v>
      </c>
      <c r="D589" s="22">
        <v>112.92779034636031</v>
      </c>
      <c r="E589" s="34">
        <v>112.92779034636</v>
      </c>
      <c r="F589" s="35">
        <v>112.92779034636</v>
      </c>
      <c r="G589" s="35">
        <v>112.92779034636</v>
      </c>
      <c r="H589" s="35">
        <v>112.92779034636</v>
      </c>
      <c r="I589" s="35">
        <v>113.415398618871</v>
      </c>
      <c r="J589" s="35">
        <v>113.415398618871</v>
      </c>
      <c r="K589" s="35">
        <v>113.415398618871</v>
      </c>
      <c r="L589" s="35">
        <v>113.415398618871</v>
      </c>
      <c r="M589" s="69">
        <v>115.428125640668</v>
      </c>
      <c r="Q589" s="52" t="str">
        <f t="shared" si="9"/>
        <v/>
      </c>
    </row>
    <row r="590" spans="1:17" x14ac:dyDescent="0.3">
      <c r="A590" s="42" t="s">
        <v>353</v>
      </c>
      <c r="B590" s="59" t="s">
        <v>708</v>
      </c>
      <c r="C590" s="46">
        <v>0.98108589552017167</v>
      </c>
      <c r="D590" s="22">
        <v>122.69070378604948</v>
      </c>
      <c r="E590" s="34">
        <v>122.690703786049</v>
      </c>
      <c r="F590" s="35">
        <v>128.38717241373999</v>
      </c>
      <c r="G590" s="35">
        <v>128.73545794575199</v>
      </c>
      <c r="H590" s="35">
        <v>128.73545794575199</v>
      </c>
      <c r="I590" s="35">
        <v>128.73545794575199</v>
      </c>
      <c r="J590" s="35">
        <v>128.73545794575199</v>
      </c>
      <c r="K590" s="35">
        <v>128.73545794575199</v>
      </c>
      <c r="L590" s="35">
        <v>128.73545794575199</v>
      </c>
      <c r="M590" s="69">
        <v>130.648578067453</v>
      </c>
      <c r="Q590" s="52" t="str">
        <f t="shared" si="9"/>
        <v/>
      </c>
    </row>
    <row r="591" spans="1:17" x14ac:dyDescent="0.3">
      <c r="A591" s="42" t="s">
        <v>354</v>
      </c>
      <c r="B591" s="59" t="s">
        <v>709</v>
      </c>
      <c r="C591" s="46">
        <v>0.83320402924377079</v>
      </c>
      <c r="D591" s="22">
        <v>123.83726881918312</v>
      </c>
      <c r="E591" s="34">
        <v>125.361820526478</v>
      </c>
      <c r="F591" s="35">
        <v>125.361820526478</v>
      </c>
      <c r="G591" s="35">
        <v>125.60998510950699</v>
      </c>
      <c r="H591" s="35">
        <v>125.60998510950699</v>
      </c>
      <c r="I591" s="35">
        <v>125.60998510950699</v>
      </c>
      <c r="J591" s="35">
        <v>125.60998510950699</v>
      </c>
      <c r="K591" s="35">
        <v>125.60998510950699</v>
      </c>
      <c r="L591" s="35">
        <v>125.60998510950699</v>
      </c>
      <c r="M591" s="69">
        <v>125.941569053541</v>
      </c>
      <c r="Q591" s="52" t="str">
        <f t="shared" si="9"/>
        <v/>
      </c>
    </row>
    <row r="592" spans="1:17" x14ac:dyDescent="0.3">
      <c r="A592" s="41"/>
      <c r="B592" s="57"/>
      <c r="C592" s="46" t="s">
        <v>716</v>
      </c>
      <c r="D592" s="22" t="s">
        <v>716</v>
      </c>
      <c r="E592" s="34"/>
      <c r="F592" s="35"/>
      <c r="G592" s="35"/>
      <c r="H592" s="35"/>
      <c r="I592" s="35"/>
      <c r="J592" s="35"/>
      <c r="K592" s="35"/>
      <c r="L592" s="35"/>
      <c r="M592" s="69"/>
      <c r="Q592" s="52" t="str">
        <f t="shared" si="9"/>
        <v/>
      </c>
    </row>
    <row r="593" spans="1:17" x14ac:dyDescent="0.3">
      <c r="A593" s="40" t="s">
        <v>355</v>
      </c>
      <c r="B593" s="57" t="s">
        <v>710</v>
      </c>
      <c r="C593" s="46">
        <v>2.1610828770208999</v>
      </c>
      <c r="D593" s="22">
        <v>119.0923179189504</v>
      </c>
      <c r="E593" s="34">
        <v>119.657586023159</v>
      </c>
      <c r="F593" s="35">
        <v>122.16781541418101</v>
      </c>
      <c r="G593" s="35">
        <v>122.413305976339</v>
      </c>
      <c r="H593" s="35">
        <v>122.413305976339</v>
      </c>
      <c r="I593" s="35">
        <v>122.495824761054</v>
      </c>
      <c r="J593" s="35">
        <v>122.495824761054</v>
      </c>
      <c r="K593" s="35">
        <v>122.495824761054</v>
      </c>
      <c r="L593" s="35">
        <v>122.495824761054</v>
      </c>
      <c r="M593" s="69">
        <v>123.802428991217</v>
      </c>
      <c r="Q593" s="52" t="str">
        <f t="shared" si="9"/>
        <v/>
      </c>
    </row>
    <row r="594" spans="1:17" x14ac:dyDescent="0.3">
      <c r="A594" s="41"/>
      <c r="B594" s="57"/>
      <c r="C594" s="46" t="s">
        <v>716</v>
      </c>
      <c r="D594" s="22" t="s">
        <v>716</v>
      </c>
      <c r="E594" s="34"/>
      <c r="F594" s="35"/>
      <c r="G594" s="35"/>
      <c r="H594" s="35"/>
      <c r="I594" s="35"/>
      <c r="J594" s="35"/>
      <c r="K594" s="35"/>
      <c r="L594" s="35"/>
      <c r="M594" s="69"/>
      <c r="Q594" s="52" t="str">
        <f t="shared" si="9"/>
        <v/>
      </c>
    </row>
    <row r="595" spans="1:17" x14ac:dyDescent="0.3">
      <c r="A595" s="40" t="s">
        <v>356</v>
      </c>
      <c r="B595" s="57" t="s">
        <v>711</v>
      </c>
      <c r="C595" s="46">
        <v>2.5630664693087049</v>
      </c>
      <c r="D595" s="22">
        <v>111.04108745271255</v>
      </c>
      <c r="E595" s="34">
        <v>111.31132274903401</v>
      </c>
      <c r="F595" s="35">
        <v>111.402399432793</v>
      </c>
      <c r="G595" s="35">
        <v>111.90011530104699</v>
      </c>
      <c r="H595" s="35">
        <v>112.01944849487499</v>
      </c>
      <c r="I595" s="35">
        <v>112.01944849487499</v>
      </c>
      <c r="J595" s="35">
        <v>112.01944849487499</v>
      </c>
      <c r="K595" s="35">
        <v>112.374206902352</v>
      </c>
      <c r="L595" s="35">
        <v>112.374206902352</v>
      </c>
      <c r="M595" s="69">
        <v>112.538224619299</v>
      </c>
      <c r="Q595" s="52" t="str">
        <f t="shared" si="9"/>
        <v/>
      </c>
    </row>
    <row r="596" spans="1:17" x14ac:dyDescent="0.3">
      <c r="A596" s="41"/>
      <c r="B596" s="57"/>
      <c r="C596" s="46" t="s">
        <v>716</v>
      </c>
      <c r="D596" s="22" t="s">
        <v>716</v>
      </c>
      <c r="E596" s="34"/>
      <c r="F596" s="35"/>
      <c r="G596" s="35"/>
      <c r="H596" s="35"/>
      <c r="I596" s="35"/>
      <c r="J596" s="35"/>
      <c r="K596" s="35"/>
      <c r="L596" s="35"/>
      <c r="M596" s="69"/>
      <c r="Q596" s="52" t="str">
        <f t="shared" si="9"/>
        <v/>
      </c>
    </row>
    <row r="597" spans="1:17" x14ac:dyDescent="0.3">
      <c r="A597" s="40" t="s">
        <v>357</v>
      </c>
      <c r="B597" s="59" t="s">
        <v>712</v>
      </c>
      <c r="C597" s="46">
        <v>2.5630664693087049</v>
      </c>
      <c r="D597" s="22">
        <v>111.04108745271255</v>
      </c>
      <c r="E597" s="34">
        <v>111.31132274903401</v>
      </c>
      <c r="F597" s="35">
        <v>111.402399432793</v>
      </c>
      <c r="G597" s="35">
        <v>111.90011530104699</v>
      </c>
      <c r="H597" s="35">
        <v>112.01944849487499</v>
      </c>
      <c r="I597" s="35">
        <v>112.01944849487499</v>
      </c>
      <c r="J597" s="35">
        <v>112.01944849487499</v>
      </c>
      <c r="K597" s="35">
        <v>112.374206902352</v>
      </c>
      <c r="L597" s="35">
        <v>112.374206902352</v>
      </c>
      <c r="M597" s="69">
        <v>112.538224619299</v>
      </c>
      <c r="Q597" s="52" t="str">
        <f t="shared" si="9"/>
        <v/>
      </c>
    </row>
    <row r="598" spans="1:17" x14ac:dyDescent="0.3">
      <c r="A598" s="40"/>
      <c r="B598" s="57"/>
      <c r="C598" s="46" t="s">
        <v>716</v>
      </c>
      <c r="D598" s="22" t="s">
        <v>716</v>
      </c>
      <c r="E598" s="34"/>
      <c r="F598" s="35"/>
      <c r="G598" s="35"/>
      <c r="H598" s="35"/>
      <c r="I598" s="35"/>
      <c r="J598" s="35"/>
      <c r="K598" s="35"/>
      <c r="L598" s="35"/>
      <c r="M598" s="69"/>
      <c r="Q598" s="52" t="str">
        <f t="shared" si="9"/>
        <v/>
      </c>
    </row>
    <row r="599" spans="1:17" x14ac:dyDescent="0.3">
      <c r="A599" s="40" t="s">
        <v>358</v>
      </c>
      <c r="B599" s="57" t="s">
        <v>713</v>
      </c>
      <c r="C599" s="46">
        <v>47.576157236235431</v>
      </c>
      <c r="D599" s="22">
        <v>106.95998463389169</v>
      </c>
      <c r="E599" s="34">
        <v>106.15415835159401</v>
      </c>
      <c r="F599" s="35">
        <v>106.884868624082</v>
      </c>
      <c r="G599" s="35">
        <v>107.56981518081901</v>
      </c>
      <c r="H599" s="35">
        <v>107.36055185092</v>
      </c>
      <c r="I599" s="35">
        <v>107.740484153591</v>
      </c>
      <c r="J599" s="35">
        <v>108.136188728832</v>
      </c>
      <c r="K599" s="35">
        <v>106.763454765983</v>
      </c>
      <c r="L599" s="35">
        <v>107.394169114614</v>
      </c>
      <c r="M599" s="69">
        <v>108.181299888067</v>
      </c>
      <c r="Q599" s="52" t="str">
        <f t="shared" si="9"/>
        <v/>
      </c>
    </row>
    <row r="600" spans="1:17" x14ac:dyDescent="0.3">
      <c r="A600" s="40"/>
      <c r="B600" s="57"/>
      <c r="C600" s="46" t="s">
        <v>716</v>
      </c>
      <c r="D600" s="22"/>
      <c r="E600" s="34"/>
      <c r="F600" s="35"/>
      <c r="G600" s="35"/>
      <c r="H600" s="35"/>
      <c r="I600" s="35"/>
      <c r="J600" s="35"/>
      <c r="K600" s="35"/>
      <c r="L600" s="35"/>
      <c r="M600" s="69"/>
      <c r="Q600" s="52" t="str">
        <f t="shared" si="9"/>
        <v/>
      </c>
    </row>
    <row r="601" spans="1:17" x14ac:dyDescent="0.3">
      <c r="A601" s="41"/>
      <c r="B601" s="55"/>
      <c r="C601" s="46"/>
      <c r="D601" s="22"/>
      <c r="E601" s="34"/>
      <c r="F601" s="35"/>
      <c r="G601" s="35"/>
      <c r="H601" s="35"/>
      <c r="I601" s="35"/>
      <c r="J601" s="35"/>
      <c r="K601" s="35"/>
      <c r="L601" s="35"/>
      <c r="M601" s="69"/>
      <c r="Q601" s="52" t="str">
        <f t="shared" si="9"/>
        <v/>
      </c>
    </row>
    <row r="602" spans="1:17" x14ac:dyDescent="0.3">
      <c r="A602" s="40"/>
      <c r="B602" s="61"/>
      <c r="C602" s="46" t="s">
        <v>716</v>
      </c>
      <c r="D602" s="22"/>
      <c r="E602" s="34"/>
      <c r="F602" s="35"/>
      <c r="G602" s="35"/>
      <c r="H602" s="35"/>
      <c r="I602" s="35"/>
      <c r="J602" s="35"/>
      <c r="K602" s="35"/>
      <c r="L602" s="35"/>
      <c r="M602" s="69"/>
      <c r="Q602" s="52" t="str">
        <f t="shared" si="9"/>
        <v/>
      </c>
    </row>
    <row r="603" spans="1:17" x14ac:dyDescent="0.3">
      <c r="A603" s="41" t="s">
        <v>46</v>
      </c>
      <c r="B603" s="61" t="s">
        <v>422</v>
      </c>
      <c r="C603" s="46">
        <v>209.40941482288838</v>
      </c>
      <c r="D603" s="22">
        <v>134.87948230238609</v>
      </c>
      <c r="E603" s="34">
        <v>137.35462191904901</v>
      </c>
      <c r="F603" s="35">
        <v>138.26593115929299</v>
      </c>
      <c r="G603" s="35">
        <v>138.56938821630001</v>
      </c>
      <c r="H603" s="35">
        <v>138.07377441615401</v>
      </c>
      <c r="I603" s="35">
        <v>136.946692225145</v>
      </c>
      <c r="J603" s="35">
        <v>137.01101791112299</v>
      </c>
      <c r="K603" s="35">
        <v>135.051794473369</v>
      </c>
      <c r="L603" s="35">
        <v>135.175929148872</v>
      </c>
      <c r="M603" s="69">
        <v>134.70033440177099</v>
      </c>
      <c r="Q603" s="52" t="str">
        <f t="shared" si="9"/>
        <v/>
      </c>
    </row>
    <row r="604" spans="1:17" x14ac:dyDescent="0.3">
      <c r="A604" s="41"/>
      <c r="B604" s="61"/>
      <c r="C604" s="46" t="s">
        <v>716</v>
      </c>
      <c r="D604" s="22" t="s">
        <v>716</v>
      </c>
      <c r="E604" s="34"/>
      <c r="F604" s="35"/>
      <c r="G604" s="35"/>
      <c r="H604" s="35"/>
      <c r="I604" s="35"/>
      <c r="J604" s="35"/>
      <c r="K604" s="35"/>
      <c r="L604" s="35"/>
      <c r="M604" s="69"/>
      <c r="Q604" s="52" t="str">
        <f t="shared" si="9"/>
        <v/>
      </c>
    </row>
    <row r="605" spans="1:17" x14ac:dyDescent="0.3">
      <c r="A605" s="41" t="s">
        <v>51</v>
      </c>
      <c r="B605" s="62" t="s">
        <v>432</v>
      </c>
      <c r="C605" s="46">
        <v>33.922436645626462</v>
      </c>
      <c r="D605" s="22">
        <v>106.99195219576842</v>
      </c>
      <c r="E605" s="34">
        <v>108.54586022997501</v>
      </c>
      <c r="F605" s="35">
        <v>107.283875561481</v>
      </c>
      <c r="G605" s="35">
        <v>107.86142812655901</v>
      </c>
      <c r="H605" s="35">
        <v>107.775386887666</v>
      </c>
      <c r="I605" s="35">
        <v>107.643346475535</v>
      </c>
      <c r="J605" s="35">
        <v>108.172708048785</v>
      </c>
      <c r="K605" s="35">
        <v>107.408897186926</v>
      </c>
      <c r="L605" s="35">
        <v>106.27311212057199</v>
      </c>
      <c r="M605" s="69">
        <v>107.439738178608</v>
      </c>
      <c r="Q605" s="52" t="str">
        <f t="shared" si="9"/>
        <v/>
      </c>
    </row>
    <row r="606" spans="1:17" x14ac:dyDescent="0.3">
      <c r="A606" s="41"/>
      <c r="B606" s="63"/>
      <c r="C606" s="46" t="s">
        <v>716</v>
      </c>
      <c r="D606" s="22" t="s">
        <v>716</v>
      </c>
      <c r="E606" s="34"/>
      <c r="F606" s="35"/>
      <c r="G606" s="35"/>
      <c r="H606" s="35"/>
      <c r="I606" s="35"/>
      <c r="J606" s="35"/>
      <c r="K606" s="35"/>
      <c r="L606" s="35"/>
      <c r="M606" s="69"/>
      <c r="Q606" s="52" t="str">
        <f t="shared" si="9"/>
        <v/>
      </c>
    </row>
    <row r="607" spans="1:17" x14ac:dyDescent="0.3">
      <c r="A607" s="41" t="s">
        <v>64</v>
      </c>
      <c r="B607" s="64" t="s">
        <v>452</v>
      </c>
      <c r="C607" s="46">
        <v>55.72750051526323</v>
      </c>
      <c r="D607" s="22">
        <v>132.10073703937493</v>
      </c>
      <c r="E607" s="34">
        <v>108.134340856888</v>
      </c>
      <c r="F607" s="35">
        <v>104.130406911457</v>
      </c>
      <c r="G607" s="35">
        <v>126.973279480339</v>
      </c>
      <c r="H607" s="35">
        <v>132.63931571547201</v>
      </c>
      <c r="I607" s="35">
        <v>132.41262568617799</v>
      </c>
      <c r="J607" s="35">
        <v>134.30523795412299</v>
      </c>
      <c r="K607" s="35">
        <v>108.452391665996</v>
      </c>
      <c r="L607" s="35">
        <v>104.67874992643399</v>
      </c>
      <c r="M607" s="69">
        <v>134.531653807959</v>
      </c>
      <c r="Q607" s="52" t="str">
        <f t="shared" si="9"/>
        <v/>
      </c>
    </row>
    <row r="608" spans="1:17" x14ac:dyDescent="0.3">
      <c r="A608" s="41"/>
      <c r="B608" s="64"/>
      <c r="C608" s="46" t="s">
        <v>716</v>
      </c>
      <c r="D608" s="22" t="s">
        <v>716</v>
      </c>
      <c r="E608" s="34"/>
      <c r="F608" s="35"/>
      <c r="G608" s="35"/>
      <c r="H608" s="35"/>
      <c r="I608" s="35"/>
      <c r="J608" s="35"/>
      <c r="K608" s="35"/>
      <c r="L608" s="35"/>
      <c r="M608" s="69"/>
      <c r="Q608" s="52" t="str">
        <f t="shared" si="9"/>
        <v/>
      </c>
    </row>
    <row r="609" spans="1:17" x14ac:dyDescent="0.3">
      <c r="A609" s="41" t="s">
        <v>78</v>
      </c>
      <c r="B609" s="64" t="s">
        <v>478</v>
      </c>
      <c r="C609" s="46">
        <v>148.31122774396044</v>
      </c>
      <c r="D609" s="22">
        <v>128.33335284614648</v>
      </c>
      <c r="E609" s="34">
        <v>128.233073311498</v>
      </c>
      <c r="F609" s="35">
        <v>129.97025781699901</v>
      </c>
      <c r="G609" s="35">
        <v>133.687337981741</v>
      </c>
      <c r="H609" s="35">
        <v>139.52246498483501</v>
      </c>
      <c r="I609" s="35">
        <v>139.48152690115299</v>
      </c>
      <c r="J609" s="35">
        <v>140.020919008232</v>
      </c>
      <c r="K609" s="35">
        <v>140.21630406402701</v>
      </c>
      <c r="L609" s="35">
        <v>141.52831392354099</v>
      </c>
      <c r="M609" s="69">
        <v>144.29859999669901</v>
      </c>
      <c r="Q609" s="52" t="str">
        <f t="shared" si="9"/>
        <v/>
      </c>
    </row>
    <row r="610" spans="1:17" x14ac:dyDescent="0.3">
      <c r="A610" s="41"/>
      <c r="B610" s="64"/>
      <c r="C610" s="46" t="s">
        <v>716</v>
      </c>
      <c r="D610" s="22" t="s">
        <v>716</v>
      </c>
      <c r="E610" s="34"/>
      <c r="F610" s="35"/>
      <c r="G610" s="35"/>
      <c r="H610" s="35"/>
      <c r="I610" s="35"/>
      <c r="J610" s="35"/>
      <c r="K610" s="35"/>
      <c r="L610" s="35"/>
      <c r="M610" s="69"/>
      <c r="Q610" s="52" t="str">
        <f t="shared" si="9"/>
        <v/>
      </c>
    </row>
    <row r="611" spans="1:17" x14ac:dyDescent="0.3">
      <c r="A611" s="41" t="s">
        <v>102</v>
      </c>
      <c r="B611" s="64" t="s">
        <v>519</v>
      </c>
      <c r="C611" s="46">
        <v>41.328373320194281</v>
      </c>
      <c r="D611" s="22">
        <v>114.25701378297792</v>
      </c>
      <c r="E611" s="34">
        <v>113.622844439926</v>
      </c>
      <c r="F611" s="35">
        <v>113.97871027779399</v>
      </c>
      <c r="G611" s="35">
        <v>114.754309556474</v>
      </c>
      <c r="H611" s="35">
        <v>114.31231562719201</v>
      </c>
      <c r="I611" s="35">
        <v>114.314810930777</v>
      </c>
      <c r="J611" s="35">
        <v>114.938767533025</v>
      </c>
      <c r="K611" s="35">
        <v>113.566424456036</v>
      </c>
      <c r="L611" s="35">
        <v>113.707884223809</v>
      </c>
      <c r="M611" s="69">
        <v>114.344539823015</v>
      </c>
      <c r="Q611" s="52" t="str">
        <f t="shared" si="9"/>
        <v/>
      </c>
    </row>
    <row r="612" spans="1:17" x14ac:dyDescent="0.3">
      <c r="A612" s="41"/>
      <c r="B612" s="64"/>
      <c r="C612" s="46" t="s">
        <v>716</v>
      </c>
      <c r="D612" s="22" t="s">
        <v>716</v>
      </c>
      <c r="E612" s="34"/>
      <c r="F612" s="35"/>
      <c r="G612" s="35"/>
      <c r="H612" s="35"/>
      <c r="I612" s="35"/>
      <c r="J612" s="35"/>
      <c r="K612" s="35"/>
      <c r="L612" s="35"/>
      <c r="M612" s="69"/>
      <c r="Q612" s="52" t="str">
        <f t="shared" si="9"/>
        <v/>
      </c>
    </row>
    <row r="613" spans="1:17" x14ac:dyDescent="0.3">
      <c r="A613" s="41" t="s">
        <v>112</v>
      </c>
      <c r="B613" s="64" t="s">
        <v>544</v>
      </c>
      <c r="C613" s="46">
        <v>77.547645051339416</v>
      </c>
      <c r="D613" s="22">
        <v>112.34993628805275</v>
      </c>
      <c r="E613" s="34">
        <v>112.349518142344</v>
      </c>
      <c r="F613" s="35">
        <v>112.520292012193</v>
      </c>
      <c r="G613" s="35">
        <v>112.988028227637</v>
      </c>
      <c r="H613" s="35">
        <v>112.95528979758799</v>
      </c>
      <c r="I613" s="35">
        <v>112.966581676302</v>
      </c>
      <c r="J613" s="35">
        <v>113.09031487107799</v>
      </c>
      <c r="K613" s="35">
        <v>113.143380787095</v>
      </c>
      <c r="L613" s="35">
        <v>113.39457381854</v>
      </c>
      <c r="M613" s="69">
        <v>113.6054847738</v>
      </c>
      <c r="Q613" s="52" t="str">
        <f t="shared" si="9"/>
        <v/>
      </c>
    </row>
    <row r="614" spans="1:17" x14ac:dyDescent="0.3">
      <c r="A614" s="41"/>
      <c r="B614" s="64"/>
      <c r="C614" s="46" t="s">
        <v>716</v>
      </c>
      <c r="D614" s="22" t="s">
        <v>716</v>
      </c>
      <c r="E614" s="34"/>
      <c r="F614" s="35"/>
      <c r="G614" s="35"/>
      <c r="H614" s="35"/>
      <c r="I614" s="35"/>
      <c r="J614" s="35"/>
      <c r="K614" s="35"/>
      <c r="L614" s="35"/>
      <c r="M614" s="69"/>
      <c r="Q614" s="52" t="str">
        <f t="shared" si="9"/>
        <v/>
      </c>
    </row>
    <row r="615" spans="1:17" x14ac:dyDescent="0.3">
      <c r="A615" s="41" t="s">
        <v>131</v>
      </c>
      <c r="B615" s="64" t="s">
        <v>587</v>
      </c>
      <c r="C615" s="46">
        <v>141.89903534834536</v>
      </c>
      <c r="D615" s="22">
        <v>124.55752030424382</v>
      </c>
      <c r="E615" s="34">
        <v>123.375132278084</v>
      </c>
      <c r="F615" s="35">
        <v>121.974815591973</v>
      </c>
      <c r="G615" s="35">
        <v>130.86271632998901</v>
      </c>
      <c r="H615" s="35">
        <v>135.72767125498899</v>
      </c>
      <c r="I615" s="35">
        <v>134.33016381130099</v>
      </c>
      <c r="J615" s="35">
        <v>131.59835201291199</v>
      </c>
      <c r="K615" s="35">
        <v>134.15888539732401</v>
      </c>
      <c r="L615" s="35">
        <v>137.14673147307701</v>
      </c>
      <c r="M615" s="69">
        <v>139.82518011992201</v>
      </c>
      <c r="Q615" s="52" t="str">
        <f t="shared" si="9"/>
        <v/>
      </c>
    </row>
    <row r="616" spans="1:17" x14ac:dyDescent="0.3">
      <c r="A616" s="41"/>
      <c r="B616" s="64"/>
      <c r="C616" s="46" t="s">
        <v>716</v>
      </c>
      <c r="D616" s="22" t="s">
        <v>716</v>
      </c>
      <c r="E616" s="34"/>
      <c r="F616" s="35"/>
      <c r="G616" s="35"/>
      <c r="H616" s="35"/>
      <c r="I616" s="35"/>
      <c r="J616" s="35"/>
      <c r="K616" s="35"/>
      <c r="L616" s="35"/>
      <c r="M616" s="69"/>
      <c r="Q616" s="52" t="str">
        <f t="shared" si="9"/>
        <v/>
      </c>
    </row>
    <row r="617" spans="1:17" x14ac:dyDescent="0.3">
      <c r="A617" s="41" t="s">
        <v>133</v>
      </c>
      <c r="B617" s="64" t="s">
        <v>611</v>
      </c>
      <c r="C617" s="46">
        <v>47.091873406534049</v>
      </c>
      <c r="D617" s="22">
        <v>93.295593309030934</v>
      </c>
      <c r="E617" s="34">
        <v>92.187918720408902</v>
      </c>
      <c r="F617" s="35">
        <v>91.8066075579912</v>
      </c>
      <c r="G617" s="35">
        <v>91.9007128337892</v>
      </c>
      <c r="H617" s="35">
        <v>91.787704034806694</v>
      </c>
      <c r="I617" s="35">
        <v>91.603051343103203</v>
      </c>
      <c r="J617" s="35">
        <v>91.7417981769118</v>
      </c>
      <c r="K617" s="35">
        <v>91.409120482415503</v>
      </c>
      <c r="L617" s="35">
        <v>91.454721563562302</v>
      </c>
      <c r="M617" s="69">
        <v>91.624801295015999</v>
      </c>
      <c r="Q617" s="52" t="str">
        <f t="shared" si="9"/>
        <v/>
      </c>
    </row>
    <row r="618" spans="1:17" x14ac:dyDescent="0.3">
      <c r="A618" s="41"/>
      <c r="B618" s="64"/>
      <c r="C618" s="46" t="s">
        <v>716</v>
      </c>
      <c r="D618" s="22" t="s">
        <v>716</v>
      </c>
      <c r="E618" s="34"/>
      <c r="F618" s="35"/>
      <c r="G618" s="35"/>
      <c r="H618" s="35"/>
      <c r="I618" s="35"/>
      <c r="J618" s="35"/>
      <c r="K618" s="35"/>
      <c r="L618" s="35"/>
      <c r="M618" s="69"/>
      <c r="Q618" s="52" t="str">
        <f t="shared" si="9"/>
        <v/>
      </c>
    </row>
    <row r="619" spans="1:17" x14ac:dyDescent="0.3">
      <c r="A619" s="41" t="s">
        <v>150</v>
      </c>
      <c r="B619" s="64" t="s">
        <v>659</v>
      </c>
      <c r="C619" s="46">
        <v>39.931319439483772</v>
      </c>
      <c r="D619" s="22">
        <v>112.57409143899545</v>
      </c>
      <c r="E619" s="34">
        <v>112.820802086068</v>
      </c>
      <c r="F619" s="35">
        <v>112.33338357050199</v>
      </c>
      <c r="G619" s="35">
        <v>112.025433926159</v>
      </c>
      <c r="H619" s="35">
        <v>112.93721558288399</v>
      </c>
      <c r="I619" s="35">
        <v>113.383024600697</v>
      </c>
      <c r="J619" s="35">
        <v>114.188272408834</v>
      </c>
      <c r="K619" s="35">
        <v>113.50295496048901</v>
      </c>
      <c r="L619" s="35">
        <v>113.88202112361</v>
      </c>
      <c r="M619" s="69">
        <v>114.35119886671001</v>
      </c>
      <c r="Q619" s="52" t="str">
        <f t="shared" si="9"/>
        <v/>
      </c>
    </row>
    <row r="620" spans="1:17" x14ac:dyDescent="0.3">
      <c r="A620" s="41"/>
      <c r="B620" s="64"/>
      <c r="C620" s="46" t="s">
        <v>716</v>
      </c>
      <c r="D620" s="22" t="s">
        <v>716</v>
      </c>
      <c r="E620" s="34"/>
      <c r="F620" s="35"/>
      <c r="G620" s="35"/>
      <c r="H620" s="35"/>
      <c r="I620" s="35"/>
      <c r="J620" s="35"/>
      <c r="K620" s="35"/>
      <c r="L620" s="35"/>
      <c r="M620" s="69"/>
      <c r="Q620" s="52" t="str">
        <f t="shared" si="9"/>
        <v/>
      </c>
    </row>
    <row r="621" spans="1:17" x14ac:dyDescent="0.3">
      <c r="A621" s="41" t="s">
        <v>1</v>
      </c>
      <c r="B621" s="64" t="s">
        <v>671</v>
      </c>
      <c r="C621" s="46">
        <v>14.868893691562326</v>
      </c>
      <c r="D621" s="22">
        <v>112.55683220790689</v>
      </c>
      <c r="E621" s="34">
        <v>112.55683220790699</v>
      </c>
      <c r="F621" s="35">
        <v>112.560030841743</v>
      </c>
      <c r="G621" s="35">
        <v>112.554330303879</v>
      </c>
      <c r="H621" s="35">
        <v>112.554330303879</v>
      </c>
      <c r="I621" s="35">
        <v>112.554688991627</v>
      </c>
      <c r="J621" s="35">
        <v>112.554688991627</v>
      </c>
      <c r="K621" s="35">
        <v>112.56229211121099</v>
      </c>
      <c r="L621" s="35">
        <v>112.56229211121099</v>
      </c>
      <c r="M621" s="69">
        <v>115.75026753594</v>
      </c>
      <c r="Q621" s="52" t="str">
        <f t="shared" si="9"/>
        <v/>
      </c>
    </row>
    <row r="622" spans="1:17" x14ac:dyDescent="0.3">
      <c r="A622" s="41"/>
      <c r="B622" s="64"/>
      <c r="C622" s="46" t="s">
        <v>716</v>
      </c>
      <c r="D622" s="22" t="s">
        <v>716</v>
      </c>
      <c r="E622" s="34"/>
      <c r="F622" s="35"/>
      <c r="G622" s="35"/>
      <c r="H622" s="35"/>
      <c r="I622" s="35"/>
      <c r="J622" s="35"/>
      <c r="K622" s="35"/>
      <c r="L622" s="35"/>
      <c r="M622" s="69"/>
      <c r="Q622" s="52" t="str">
        <f t="shared" si="9"/>
        <v/>
      </c>
    </row>
    <row r="623" spans="1:17" x14ac:dyDescent="0.3">
      <c r="A623" s="41" t="s">
        <v>2</v>
      </c>
      <c r="B623" s="64" t="s">
        <v>682</v>
      </c>
      <c r="C623" s="46">
        <v>123.26642139435241</v>
      </c>
      <c r="D623" s="22">
        <v>129.64001356639631</v>
      </c>
      <c r="E623" s="34">
        <v>129.90744308172901</v>
      </c>
      <c r="F623" s="35">
        <v>130.73238489499099</v>
      </c>
      <c r="G623" s="35">
        <v>131.48176127132899</v>
      </c>
      <c r="H623" s="35">
        <v>132.88353140885101</v>
      </c>
      <c r="I623" s="35">
        <v>136.64934655634701</v>
      </c>
      <c r="J623" s="35">
        <v>137.03349194182701</v>
      </c>
      <c r="K623" s="35">
        <v>135.42649442872101</v>
      </c>
      <c r="L623" s="35">
        <v>135.76884212375401</v>
      </c>
      <c r="M623" s="69">
        <v>137.14026491219599</v>
      </c>
      <c r="Q623" s="52" t="str">
        <f t="shared" si="9"/>
        <v/>
      </c>
    </row>
    <row r="624" spans="1:17" x14ac:dyDescent="0.3">
      <c r="A624" s="41"/>
      <c r="B624" s="64"/>
      <c r="C624" s="46" t="s">
        <v>716</v>
      </c>
      <c r="D624" s="22" t="s">
        <v>716</v>
      </c>
      <c r="E624" s="34"/>
      <c r="F624" s="35"/>
      <c r="G624" s="35"/>
      <c r="H624" s="35"/>
      <c r="I624" s="35"/>
      <c r="J624" s="35"/>
      <c r="K624" s="35"/>
      <c r="L624" s="35"/>
      <c r="M624" s="69"/>
      <c r="Q624" s="52" t="str">
        <f t="shared" si="9"/>
        <v/>
      </c>
    </row>
    <row r="625" spans="1:17" x14ac:dyDescent="0.3">
      <c r="A625" s="41" t="s">
        <v>0</v>
      </c>
      <c r="B625" s="64" t="s">
        <v>694</v>
      </c>
      <c r="C625" s="46">
        <v>19.119701384214583</v>
      </c>
      <c r="D625" s="22">
        <v>111.57245802408642</v>
      </c>
      <c r="E625" s="34">
        <v>113.95529468193401</v>
      </c>
      <c r="F625" s="35">
        <v>113.95529468193401</v>
      </c>
      <c r="G625" s="35">
        <v>113.95529468193401</v>
      </c>
      <c r="H625" s="35">
        <v>115.421890368193</v>
      </c>
      <c r="I625" s="35">
        <v>115.421890368193</v>
      </c>
      <c r="J625" s="35">
        <v>115.421890368193</v>
      </c>
      <c r="K625" s="35">
        <v>115.421890368193</v>
      </c>
      <c r="L625" s="35">
        <v>115.421890368193</v>
      </c>
      <c r="M625" s="69">
        <v>115.421890368193</v>
      </c>
      <c r="Q625" s="52" t="str">
        <f t="shared" si="9"/>
        <v/>
      </c>
    </row>
    <row r="626" spans="1:17" x14ac:dyDescent="0.3">
      <c r="A626" s="41"/>
      <c r="B626" s="64"/>
      <c r="C626" s="46" t="s">
        <v>716</v>
      </c>
      <c r="D626" s="22" t="s">
        <v>716</v>
      </c>
      <c r="E626" s="34"/>
      <c r="F626" s="35"/>
      <c r="G626" s="35"/>
      <c r="H626" s="35"/>
      <c r="I626" s="35"/>
      <c r="J626" s="35"/>
      <c r="K626" s="35"/>
      <c r="L626" s="35"/>
      <c r="M626" s="69"/>
      <c r="Q626" s="52" t="str">
        <f t="shared" si="9"/>
        <v/>
      </c>
    </row>
    <row r="627" spans="1:17" x14ac:dyDescent="0.3">
      <c r="A627" s="41" t="s">
        <v>358</v>
      </c>
      <c r="B627" s="64" t="s">
        <v>713</v>
      </c>
      <c r="C627" s="46">
        <v>47.576157236235431</v>
      </c>
      <c r="D627" s="22">
        <v>106.95998463389169</v>
      </c>
      <c r="E627" s="34">
        <v>106.15415835159401</v>
      </c>
      <c r="F627" s="35">
        <v>106.884868624082</v>
      </c>
      <c r="G627" s="35">
        <v>107.56981518081901</v>
      </c>
      <c r="H627" s="35">
        <v>107.36055185092</v>
      </c>
      <c r="I627" s="35">
        <v>107.740484153591</v>
      </c>
      <c r="J627" s="35">
        <v>108.136188728832</v>
      </c>
      <c r="K627" s="35">
        <v>106.763454765983</v>
      </c>
      <c r="L627" s="35">
        <v>107.394169114614</v>
      </c>
      <c r="M627" s="69">
        <v>108.181299888067</v>
      </c>
      <c r="Q627" s="52" t="str">
        <f t="shared" si="9"/>
        <v/>
      </c>
    </row>
    <row r="628" spans="1:17" x14ac:dyDescent="0.3">
      <c r="A628" s="44"/>
      <c r="B628" s="64"/>
      <c r="C628" s="46" t="s">
        <v>716</v>
      </c>
      <c r="D628" s="22" t="s">
        <v>716</v>
      </c>
      <c r="E628" s="34"/>
      <c r="F628" s="35"/>
      <c r="G628" s="35"/>
      <c r="H628" s="35"/>
      <c r="I628" s="35"/>
      <c r="J628" s="35"/>
      <c r="K628" s="35"/>
      <c r="L628" s="35"/>
      <c r="M628" s="69"/>
      <c r="Q628" s="52" t="str">
        <f t="shared" si="9"/>
        <v/>
      </c>
    </row>
    <row r="629" spans="1:17" x14ac:dyDescent="0.3">
      <c r="A629" s="45"/>
      <c r="B629" s="65" t="s">
        <v>714</v>
      </c>
      <c r="C629" s="50">
        <v>1000.0000000000002</v>
      </c>
      <c r="D629" s="51">
        <v>122.56399093663202</v>
      </c>
      <c r="E629" s="36">
        <v>121.628231790654</v>
      </c>
      <c r="F629" s="36">
        <v>121.717588977278</v>
      </c>
      <c r="G629" s="36">
        <v>124.937321577368</v>
      </c>
      <c r="H629" s="36">
        <v>126.831458515205</v>
      </c>
      <c r="I629" s="36">
        <v>126.867809688184</v>
      </c>
      <c r="J629" s="36">
        <v>126.841502846239</v>
      </c>
      <c r="K629" s="36">
        <v>125.118778155966</v>
      </c>
      <c r="L629" s="36">
        <v>125.627278332248</v>
      </c>
      <c r="M629" s="70">
        <v>128.223356317791</v>
      </c>
      <c r="N629" s="23"/>
      <c r="O629" s="23"/>
      <c r="P629" s="23"/>
      <c r="Q629" s="53" t="str">
        <f>IF(P629="","",AVERAGE(E629:P629))</f>
        <v/>
      </c>
    </row>
    <row r="631" spans="1:17" s="25" customFormat="1" x14ac:dyDescent="0.3">
      <c r="A631" s="54" t="s">
        <v>715</v>
      </c>
      <c r="C631" s="26"/>
      <c r="D631" s="26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</row>
    <row r="634" spans="1:17" x14ac:dyDescent="0.3">
      <c r="C634" s="28"/>
    </row>
  </sheetData>
  <phoneticPr fontId="0" type="noConversion"/>
  <pageMargins left="0.17" right="0.17" top="0.3" bottom="0.37" header="0.17" footer="0.17"/>
  <pageSetup paperSize="9" scale="75" orientation="landscape" r:id="rId1"/>
  <headerFooter alignWithMargins="0">
    <oddHeader xml:space="preserve">&amp;R
    </oddHead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B8D0-A873-48ED-AC93-74764F68F8DB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2</vt:i4>
      </vt:variant>
      <vt:variant>
        <vt:lpstr>Καθορισμένες περιοχές</vt:lpstr>
      </vt:variant>
      <vt:variant>
        <vt:i4>4</vt:i4>
      </vt:variant>
    </vt:vector>
  </HeadingPairs>
  <TitlesOfParts>
    <vt:vector size="6" baseType="lpstr">
      <vt:lpstr>INDICES</vt:lpstr>
      <vt:lpstr>Φύλλο1</vt:lpstr>
      <vt:lpstr>INDICES!Print_Area</vt:lpstr>
      <vt:lpstr>INDICES!Print_Area_MI</vt:lpstr>
      <vt:lpstr>INDICES!Print_Titles</vt:lpstr>
      <vt:lpstr>INDICES!Print_Titles_MI</vt:lpstr>
    </vt:vector>
  </TitlesOfParts>
  <Company>STATISTICS ORGANIZATION OF GREECE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kourtaka</dc:creator>
  <cp:lastModifiedBy>Kourtaki Argyro</cp:lastModifiedBy>
  <cp:lastPrinted>2014-09-15T07:13:28Z</cp:lastPrinted>
  <dcterms:created xsi:type="dcterms:W3CDTF">2006-01-09T11:01:42Z</dcterms:created>
  <dcterms:modified xsi:type="dcterms:W3CDTF">2026-10-05T10:41:14Z</dcterms:modified>
</cp:coreProperties>
</file>